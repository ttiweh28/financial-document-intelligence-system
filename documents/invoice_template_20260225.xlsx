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drawings/drawing3.xml" ContentType="application/vnd.openxmlformats-officedocument.drawing+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166925"/>
  <mc:AlternateContent xmlns:mc="http://schemas.openxmlformats.org/markup-compatibility/2006">
    <mc:Choice Requires="x15">
      <x15ac:absPath xmlns:x15ac="http://schemas.microsoft.com/office/spreadsheetml/2010/11/ac" url="https://emailarizona.sharepoint.com/sites/FSO-FinancialCompliance/Shared Documents/General/CollaborationOnPolicy/FSM PMM PACS ManualProject/FSM/8.20 Invoicing and Accounts Receivable/"/>
    </mc:Choice>
  </mc:AlternateContent>
  <xr:revisionPtr revIDLastSave="139" documentId="8_{4C994AC5-6132-4990-806C-C72EF4B606DA}" xr6:coauthVersionLast="47" xr6:coauthVersionMax="47" xr10:uidLastSave="{E4890F83-ED5D-4314-A0AC-25A5E465C3B0}"/>
  <bookViews>
    <workbookView xWindow="21630" yWindow="-16785" windowWidth="29040" windowHeight="15720" activeTab="1" xr2:uid="{59113959-E885-4A14-B08F-0CC3844915D4}"/>
  </bookViews>
  <sheets>
    <sheet name="FREE-FORM INVOICE" sheetId="6" r:id="rId1"/>
    <sheet name="CATALOG INVOICE" sheetId="1" r:id="rId2"/>
    <sheet name="Customers" sheetId="4" r:id="rId3"/>
    <sheet name="Goods &amp; Services" sheetId="2" r:id="rId4"/>
    <sheet name="Payment Terms" sheetId="5" r:id="rId5"/>
    <sheet name="Misc Tables" sheetId="3" state="hidden" r:id="rId6"/>
  </sheets>
  <definedNames>
    <definedName name="Classification" localSheetId="0">Classifications[Classifications]</definedName>
    <definedName name="Classification">Classifications[Classifications]</definedName>
    <definedName name="Customer" localSheetId="0">Customers[Customer Name]</definedName>
    <definedName name="Customer">Customers[Customer Name]</definedName>
    <definedName name="Description" localSheetId="0">Catalog[Item Description]</definedName>
    <definedName name="Description">Catalog[Item Description]</definedName>
    <definedName name="_xlnm.Print_Area" localSheetId="1">'CATALOG INVOICE'!$A$1:$J$38</definedName>
    <definedName name="_xlnm.Print_Area" localSheetId="0">'FREE-FORM INVOICE'!$A$1:$I$38</definedName>
    <definedName name="Term" localSheetId="0">Terms[Term]</definedName>
    <definedName name="Term">Terms[Term]</definedName>
    <definedName name="YN" localSheetId="0">YesNo[Yes/No]</definedName>
    <definedName name="YN">YesNo[Yes/No]</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2" i="1" l="1"/>
  <c r="D11" i="1"/>
  <c r="D10" i="1"/>
  <c r="D9" i="1"/>
  <c r="D8" i="1"/>
  <c r="I16" i="6"/>
  <c r="B12" i="1"/>
  <c r="I30" i="6"/>
  <c r="I29" i="6"/>
  <c r="I28" i="6"/>
  <c r="I27" i="6"/>
  <c r="I26" i="6"/>
  <c r="I25" i="6"/>
  <c r="I24" i="6"/>
  <c r="I23" i="6"/>
  <c r="I22" i="6"/>
  <c r="I21" i="6"/>
  <c r="I20" i="6"/>
  <c r="I19" i="6"/>
  <c r="I18" i="6"/>
  <c r="I17" i="6"/>
  <c r="I15" i="6"/>
  <c r="I4" i="6"/>
  <c r="B11" i="1"/>
  <c r="B10" i="1"/>
  <c r="B9" i="1"/>
  <c r="B8" i="1"/>
  <c r="I16" i="1"/>
  <c r="J16" i="1" s="1"/>
  <c r="I17" i="1"/>
  <c r="J17" i="1" s="1"/>
  <c r="I18" i="1"/>
  <c r="J18" i="1" s="1"/>
  <c r="I19" i="1"/>
  <c r="J19" i="1" s="1"/>
  <c r="I20" i="1"/>
  <c r="J20" i="1" s="1"/>
  <c r="I21" i="1"/>
  <c r="J21" i="1" s="1"/>
  <c r="I22" i="1"/>
  <c r="J22" i="1" s="1"/>
  <c r="I23" i="1"/>
  <c r="J23" i="1" s="1"/>
  <c r="I24" i="1"/>
  <c r="J24" i="1" s="1"/>
  <c r="I25" i="1"/>
  <c r="J25" i="1" s="1"/>
  <c r="I26" i="1"/>
  <c r="J26" i="1" s="1"/>
  <c r="I27" i="1"/>
  <c r="J27" i="1" s="1"/>
  <c r="I28" i="1"/>
  <c r="J28" i="1" s="1"/>
  <c r="I29" i="1"/>
  <c r="J29" i="1" s="1"/>
  <c r="I30" i="1"/>
  <c r="J30" i="1" s="1"/>
  <c r="J15" i="1"/>
  <c r="H16" i="1"/>
  <c r="H17" i="1"/>
  <c r="H18" i="1"/>
  <c r="H19" i="1"/>
  <c r="H20" i="1"/>
  <c r="H21" i="1"/>
  <c r="H22" i="1"/>
  <c r="H23" i="1"/>
  <c r="H24" i="1"/>
  <c r="H25" i="1"/>
  <c r="H26" i="1"/>
  <c r="H27" i="1"/>
  <c r="H28" i="1"/>
  <c r="H29" i="1"/>
  <c r="H30" i="1"/>
  <c r="H15" i="1"/>
  <c r="J4" i="1"/>
  <c r="J35" i="1" l="1"/>
  <c r="J37" i="1" s="1"/>
  <c r="I32" i="6"/>
  <c r="I35" i="6"/>
  <c r="I37" i="6" s="1"/>
  <c r="J32" i="1"/>
  <c r="I38" i="6" l="1"/>
  <c r="J38" i="1"/>
</calcChain>
</file>

<file path=xl/sharedStrings.xml><?xml version="1.0" encoding="utf-8"?>
<sst xmlns="http://schemas.openxmlformats.org/spreadsheetml/2006/main" count="175" uniqueCount="96">
  <si>
    <t>INVOICE</t>
  </si>
  <si>
    <t xml:space="preserve">DATE  </t>
  </si>
  <si>
    <t>← Enter the Date if other than today</t>
  </si>
  <si>
    <t xml:space="preserve">INVOICE #  </t>
  </si>
  <si>
    <t>PAYMENT TERMS</t>
  </si>
  <si>
    <t>BILL</t>
  </si>
  <si>
    <t>Customer Name</t>
  </si>
  <si>
    <t>REMIT</t>
  </si>
  <si>
    <t>Department Name</t>
  </si>
  <si>
    <t xml:space="preserve">TO   </t>
  </si>
  <si>
    <t xml:space="preserve"> TO   </t>
  </si>
  <si>
    <t>Address 1</t>
  </si>
  <si>
    <t>ACCOUNT</t>
  </si>
  <si>
    <t>Address 2</t>
  </si>
  <si>
    <t>SUB-ACCOUNT</t>
  </si>
  <si>
    <t>OBJECT CODE</t>
  </si>
  <si>
    <t>Ph: 000-000-0000</t>
  </si>
  <si>
    <t>PROJECT CODE</t>
  </si>
  <si>
    <t>DESCRIPTION</t>
  </si>
  <si>
    <t>QUANTITY</t>
  </si>
  <si>
    <t>Taxable</t>
  </si>
  <si>
    <t>UNIT PRICE</t>
  </si>
  <si>
    <t>AMOUNT</t>
  </si>
  <si>
    <t>DISCOUNT</t>
  </si>
  <si>
    <t>← Enter Discount as a negative number, or change label to OTHER and enter Amount (will be included in TAX calculation)</t>
  </si>
  <si>
    <t>SUBTOTAL</t>
  </si>
  <si>
    <t>← Formula will sum all Amounts and DISCOUNT</t>
  </si>
  <si>
    <t>SHIPPING</t>
  </si>
  <si>
    <t>← Enter the tax percentage, if applicable</t>
  </si>
  <si>
    <t>HANDLING (TAXABLE)</t>
  </si>
  <si>
    <t>TAXABLE SUBTOTAL</t>
  </si>
  <si>
    <t>TAX RATE</t>
  </si>
  <si>
    <t>← Enter Shipping, if applicable</t>
  </si>
  <si>
    <t>TAX</t>
  </si>
  <si>
    <t>← Enter Handling, if applicable</t>
  </si>
  <si>
    <t>Please reference invoice number above with payment</t>
  </si>
  <si>
    <t>TOTAL AMOUNT DUE</t>
  </si>
  <si>
    <t>TO SEND: Print or Save the worksheet as a PDF</t>
  </si>
  <si>
    <t>City</t>
  </si>
  <si>
    <t>State</t>
  </si>
  <si>
    <t>Zip</t>
  </si>
  <si>
    <t>Phone</t>
  </si>
  <si>
    <t>Billing Email</t>
  </si>
  <si>
    <t>Contact Email</t>
  </si>
  <si>
    <t>Tax Exempt?</t>
  </si>
  <si>
    <t>000-000-0000</t>
  </si>
  <si>
    <t>test@customerurl.com</t>
  </si>
  <si>
    <t>N</t>
  </si>
  <si>
    <t>Y</t>
  </si>
  <si>
    <t>Item Description</t>
  </si>
  <si>
    <t>Unit Price</t>
  </si>
  <si>
    <t>Classification</t>
  </si>
  <si>
    <t>Taxable?</t>
  </si>
  <si>
    <t>Good</t>
  </si>
  <si>
    <t>Service</t>
  </si>
  <si>
    <t>Term</t>
  </si>
  <si>
    <t>Term Description</t>
  </si>
  <si>
    <t>Upon receipt</t>
  </si>
  <si>
    <t>Payment is expected as soon as the invoice is received.</t>
  </si>
  <si>
    <t>End of month</t>
  </si>
  <si>
    <t>Payment is due at the end of the month in which the invoice is received.</t>
  </si>
  <si>
    <t>Net 7</t>
  </si>
  <si>
    <t>Payment is due in 7 days</t>
  </si>
  <si>
    <t>Net 15</t>
  </si>
  <si>
    <t>Payment is due in 15 days</t>
  </si>
  <si>
    <t>Net 30</t>
  </si>
  <si>
    <t>Payment is due in 30 days</t>
  </si>
  <si>
    <t>Payment due upon delivery</t>
  </si>
  <si>
    <t>2/10 Net 30</t>
  </si>
  <si>
    <t>Payment is due in 30 days, but customer can take a 2% discount if paid within 10 days.</t>
  </si>
  <si>
    <t>Yes/No</t>
  </si>
  <si>
    <t>Classifications</t>
  </si>
  <si>
    <t>← Select Payment Terms</t>
  </si>
  <si>
    <t xml:space="preserve">Enter custom text, payment methods, purchase order/reference number, or other messages here
</t>
  </si>
  <si>
    <t>← Enter free-form Description of item sold, Quantity sold, "Y" or "N" for Taxable, and Unit Price; Amount will automatically calculate</t>
  </si>
  <si>
    <t>← Enter the Invoice Number. This is a unique sequential number that should begin with the four-digit department number. For example, 7702-1234</t>
  </si>
  <si>
    <t>Email address</t>
  </si>
  <si>
    <r>
      <t xml:space="preserve">Make all checks payable to: </t>
    </r>
    <r>
      <rPr>
        <b/>
        <sz val="11"/>
        <color theme="1"/>
        <rFont val="Arial"/>
        <family val="2"/>
      </rPr>
      <t>THE UNIVERSITY OF ARIZONA</t>
    </r>
  </si>
  <si>
    <t>Enter description</t>
  </si>
  <si>
    <t>test@example.com</t>
  </si>
  <si>
    <t>Example description (Taxable)</t>
  </si>
  <si>
    <t>Example description (Non-Taxable)</t>
  </si>
  <si>
    <t>Pymt on Delivery</t>
  </si>
  <si>
    <t>ST</t>
  </si>
  <si>
    <t>ZIP</t>
  </si>
  <si>
    <t>City, ST ZIP</t>
  </si>
  <si>
    <t>Address Line 1</t>
  </si>
  <si>
    <t>Address Line 2</t>
  </si>
  <si>
    <t>Customer Name 1</t>
  </si>
  <si>
    <t>Customer Name 2</t>
  </si>
  <si>
    <t>← Select Item (populates from Goods &amp; Services tab) and enter Quantity sold; Amount will automatically calculate</t>
  </si>
  <si>
    <t>← Tax will automatically calculate by Taxable Subtotal (hidden row) * Tax Rate</t>
  </si>
  <si>
    <t>FOR INTERNAL USE</t>
  </si>
  <si>
    <t>SHIP</t>
  </si>
  <si>
    <t>← Enter the BILL TO, SHIP TO, and REMIT TO addresses</t>
  </si>
  <si>
    <t>← Select BILL TO Customer (populates from Customers tab) and manually enter SHIP TO Customer if different from BILL TO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</si>
</sst>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quot;$&quot;* #,##0.00_);_(&quot;$&quot;* \(#,##0.00\);_(&quot;$&quot;* &quot;-&quot;??_);_(@_)"/>
    <numFmt numFmtId="43" formatCode="_(* #,##0.00_);_(* \(#,##0.00\);_(* &quot;-&quot;??_);_(@_)"/>
    <numFmt numFmtId="164" formatCode="0.000%"/>
  </numFmts>
  <fonts count="34" x14ac:knownFonts="1">
    <font>
      <sz val="11"/>
      <color theme="1"/>
      <name val="Calibri"/>
      <family val="2"/>
      <scheme val="minor"/>
    </font>
    <font>
      <sz val="11"/>
      <color theme="1"/>
      <name val="Calibri"/>
      <family val="2"/>
      <scheme val="minor"/>
    </font>
    <font>
      <sz val="10"/>
      <color theme="4" tint="-0.249977111117893"/>
      <name val="Arial"/>
      <family val="2"/>
    </font>
    <font>
      <sz val="10"/>
      <name val="Arial"/>
      <family val="2"/>
    </font>
    <font>
      <sz val="30"/>
      <color theme="4"/>
      <name val="Arial"/>
      <family val="2"/>
    </font>
    <font>
      <sz val="24"/>
      <color theme="4"/>
      <name val="Arial"/>
      <family val="2"/>
    </font>
    <font>
      <sz val="28"/>
      <color rgb="FF002060"/>
      <name val="Arial"/>
      <family val="2"/>
    </font>
    <font>
      <u/>
      <sz val="10"/>
      <color indexed="12"/>
      <name val="Verdana"/>
      <family val="2"/>
    </font>
    <font>
      <b/>
      <sz val="10"/>
      <color theme="4"/>
      <name val="Arial"/>
      <family val="2"/>
    </font>
    <font>
      <sz val="10"/>
      <color theme="4"/>
      <name val="Arial"/>
      <family val="2"/>
    </font>
    <font>
      <sz val="8"/>
      <name val="Arial"/>
      <family val="2"/>
    </font>
    <font>
      <b/>
      <sz val="10"/>
      <color theme="1" tint="0.249977111117893"/>
      <name val="Arial"/>
      <family val="2"/>
    </font>
    <font>
      <b/>
      <sz val="10"/>
      <name val="Arial"/>
      <family val="2"/>
    </font>
    <font>
      <b/>
      <sz val="9"/>
      <color rgb="FFAB0520"/>
      <name val="Arial"/>
      <family val="2"/>
    </font>
    <font>
      <b/>
      <sz val="9"/>
      <color theme="1"/>
      <name val="Arial"/>
      <family val="2"/>
    </font>
    <font>
      <b/>
      <sz val="10"/>
      <color theme="1"/>
      <name val="Arial"/>
      <family val="2"/>
    </font>
    <font>
      <b/>
      <sz val="8"/>
      <color theme="1" tint="0.249977111117893"/>
      <name val="Arial"/>
      <family val="2"/>
    </font>
    <font>
      <sz val="10"/>
      <color theme="1"/>
      <name val="Arial"/>
      <family val="2"/>
    </font>
    <font>
      <b/>
      <sz val="8"/>
      <name val="Arial"/>
      <family val="2"/>
    </font>
    <font>
      <sz val="9"/>
      <color theme="1" tint="0.249977111117893"/>
      <name val="Arial"/>
      <family val="2"/>
    </font>
    <font>
      <b/>
      <sz val="9"/>
      <color theme="4"/>
      <name val="Arial"/>
      <family val="2"/>
    </font>
    <font>
      <sz val="11"/>
      <color theme="1"/>
      <name val="Arial"/>
      <family val="2"/>
    </font>
    <font>
      <b/>
      <sz val="9"/>
      <name val="Arial"/>
      <family val="2"/>
    </font>
    <font>
      <sz val="9"/>
      <color theme="1"/>
      <name val="Arial"/>
      <family val="2"/>
    </font>
    <font>
      <b/>
      <sz val="8"/>
      <color theme="1"/>
      <name val="Arial"/>
      <family val="2"/>
    </font>
    <font>
      <i/>
      <sz val="9"/>
      <color theme="1"/>
      <name val="Arial"/>
      <family val="2"/>
    </font>
    <font>
      <sz val="9"/>
      <name val="Arial"/>
      <family val="2"/>
    </font>
    <font>
      <sz val="10"/>
      <color rgb="FF00B050"/>
      <name val="Arial"/>
      <family val="2"/>
    </font>
    <font>
      <i/>
      <sz val="10"/>
      <color rgb="FF00B050"/>
      <name val="Arial"/>
      <family val="2"/>
    </font>
    <font>
      <sz val="8"/>
      <name val="Calibri"/>
      <family val="2"/>
      <scheme val="minor"/>
    </font>
    <font>
      <sz val="11"/>
      <name val="Calibri"/>
      <family val="2"/>
      <scheme val="minor"/>
    </font>
    <font>
      <i/>
      <sz val="9"/>
      <name val="Arial"/>
      <family val="2"/>
    </font>
    <font>
      <b/>
      <sz val="11"/>
      <color theme="1"/>
      <name val="Arial"/>
      <family val="2"/>
    </font>
    <font>
      <i/>
      <sz val="11"/>
      <name val="Arial"/>
      <family val="2"/>
    </font>
  </fonts>
  <fills count="4">
    <fill>
      <patternFill patternType="none"/>
    </fill>
    <fill>
      <patternFill patternType="gray125"/>
    </fill>
    <fill>
      <patternFill patternType="solid">
        <fgColor theme="0"/>
        <bgColor indexed="64"/>
      </patternFill>
    </fill>
    <fill>
      <patternFill patternType="solid">
        <fgColor theme="0" tint="-4.9989318521683403E-2"/>
        <bgColor indexed="64"/>
      </patternFill>
    </fill>
  </fills>
  <borders count="22">
    <border>
      <left/>
      <right/>
      <top/>
      <bottom/>
      <diagonal/>
    </border>
    <border>
      <left/>
      <right/>
      <top/>
      <bottom style="thin">
        <color theme="1"/>
      </bottom>
      <diagonal/>
    </border>
    <border>
      <left/>
      <right style="hair">
        <color theme="0" tint="-0.34998626667073579"/>
      </right>
      <top/>
      <bottom/>
      <diagonal/>
    </border>
    <border>
      <left/>
      <right style="hair">
        <color indexed="64"/>
      </right>
      <top/>
      <bottom/>
      <diagonal/>
    </border>
    <border>
      <left/>
      <right style="thin">
        <color theme="1"/>
      </right>
      <top/>
      <bottom style="thin">
        <color theme="1"/>
      </bottom>
      <diagonal/>
    </border>
    <border>
      <left style="thin">
        <color theme="1"/>
      </left>
      <right style="thin">
        <color theme="1"/>
      </right>
      <top/>
      <bottom style="thin">
        <color theme="1"/>
      </bottom>
      <diagonal/>
    </border>
    <border>
      <left/>
      <right/>
      <top style="thin">
        <color theme="1"/>
      </top>
      <bottom/>
      <diagonal/>
    </border>
    <border>
      <left style="thin">
        <color theme="1"/>
      </left>
      <right style="thin">
        <color theme="1"/>
      </right>
      <top/>
      <bottom style="hair">
        <color theme="0" tint="-0.34998626667073579"/>
      </bottom>
      <diagonal/>
    </border>
    <border>
      <left/>
      <right/>
      <top/>
      <bottom style="hair">
        <color theme="0" tint="-0.34998626667073579"/>
      </bottom>
      <diagonal/>
    </border>
    <border>
      <left/>
      <right/>
      <top style="double">
        <color theme="1"/>
      </top>
      <bottom/>
      <diagonal/>
    </border>
    <border>
      <left/>
      <right/>
      <top style="double">
        <color auto="1"/>
      </top>
      <bottom/>
      <diagonal/>
    </border>
    <border>
      <left/>
      <right/>
      <top/>
      <bottom style="thin">
        <color indexed="64"/>
      </bottom>
      <diagonal/>
    </border>
    <border>
      <left style="thin">
        <color theme="1"/>
      </left>
      <right style="thin">
        <color theme="1"/>
      </right>
      <top/>
      <bottom style="thin">
        <color indexed="64"/>
      </bottom>
      <diagonal/>
    </border>
    <border>
      <left style="thin">
        <color theme="1"/>
      </left>
      <right style="thin">
        <color theme="1"/>
      </right>
      <top style="hair">
        <color theme="0" tint="-0.34998626667073579"/>
      </top>
      <bottom style="thin">
        <color indexed="64"/>
      </bottom>
      <diagonal/>
    </border>
    <border>
      <left style="hair">
        <color theme="0" tint="-0.34998626667073579"/>
      </left>
      <right/>
      <top/>
      <bottom/>
      <diagonal/>
    </border>
    <border>
      <left/>
      <right/>
      <top style="thin">
        <color theme="1"/>
      </top>
      <bottom style="hair">
        <color theme="0" tint="-0.499984740745262"/>
      </bottom>
      <diagonal/>
    </border>
    <border>
      <left/>
      <right style="thin">
        <color theme="1"/>
      </right>
      <top style="thin">
        <color theme="1"/>
      </top>
      <bottom style="hair">
        <color theme="0" tint="-0.499984740745262"/>
      </bottom>
      <diagonal/>
    </border>
    <border>
      <left/>
      <right/>
      <top style="hair">
        <color theme="0" tint="-0.499984740745262"/>
      </top>
      <bottom style="hair">
        <color theme="0" tint="-0.499984740745262"/>
      </bottom>
      <diagonal/>
    </border>
    <border>
      <left/>
      <right style="thin">
        <color theme="1"/>
      </right>
      <top style="hair">
        <color theme="0" tint="-0.499984740745262"/>
      </top>
      <bottom style="hair">
        <color theme="0" tint="-0.499984740745262"/>
      </bottom>
      <diagonal/>
    </border>
    <border>
      <left/>
      <right/>
      <top style="hair">
        <color theme="0" tint="-0.499984740745262"/>
      </top>
      <bottom style="thin">
        <color indexed="64"/>
      </bottom>
      <diagonal/>
    </border>
    <border>
      <left/>
      <right style="thin">
        <color theme="1"/>
      </right>
      <top style="hair">
        <color theme="0" tint="-0.499984740745262"/>
      </top>
      <bottom style="thin">
        <color indexed="64"/>
      </bottom>
      <diagonal/>
    </border>
    <border>
      <left/>
      <right style="thin">
        <color theme="1"/>
      </right>
      <top style="thin">
        <color theme="1"/>
      </top>
      <bottom/>
      <diagonal/>
    </border>
  </borders>
  <cellStyleXfs count="3">
    <xf numFmtId="0" fontId="0" fillId="0" borderId="0"/>
    <xf numFmtId="43" fontId="1" fillId="0" borderId="0" applyFont="0" applyFill="0" applyBorder="0" applyAlignment="0" applyProtection="0"/>
    <xf numFmtId="0" fontId="7" fillId="0" borderId="0" applyNumberFormat="0" applyFill="0" applyBorder="0" applyAlignment="0" applyProtection="0">
      <alignment vertical="top"/>
      <protection locked="0"/>
    </xf>
  </cellStyleXfs>
  <cellXfs count="96">
    <xf numFmtId="0" fontId="0" fillId="0" borderId="0" xfId="0"/>
    <xf numFmtId="0" fontId="2" fillId="2" borderId="0" xfId="0" applyFont="1" applyFill="1"/>
    <xf numFmtId="0" fontId="3" fillId="0" borderId="0" xfId="0" applyFont="1"/>
    <xf numFmtId="0" fontId="4" fillId="2" borderId="0" xfId="0" applyFont="1" applyFill="1"/>
    <xf numFmtId="0" fontId="5" fillId="2" borderId="0" xfId="0" applyFont="1" applyFill="1"/>
    <xf numFmtId="0" fontId="6" fillId="2" borderId="0" xfId="0" applyFont="1" applyFill="1" applyAlignment="1">
      <alignment horizontal="right"/>
    </xf>
    <xf numFmtId="0" fontId="8" fillId="2" borderId="1" xfId="0" applyFont="1" applyFill="1" applyBorder="1" applyAlignment="1">
      <alignment vertical="top"/>
    </xf>
    <xf numFmtId="0" fontId="9" fillId="2" borderId="1" xfId="0" applyFont="1" applyFill="1" applyBorder="1" applyAlignment="1">
      <alignment vertical="top"/>
    </xf>
    <xf numFmtId="0" fontId="10" fillId="0" borderId="0" xfId="1" applyNumberFormat="1" applyFont="1" applyFill="1" applyAlignment="1">
      <alignment horizontal="left" vertical="center"/>
    </xf>
    <xf numFmtId="0" fontId="10" fillId="0" borderId="0" xfId="0" applyFont="1" applyAlignment="1">
      <alignment vertical="center"/>
    </xf>
    <xf numFmtId="0" fontId="11" fillId="2" borderId="0" xfId="0" applyFont="1" applyFill="1" applyAlignment="1" applyProtection="1">
      <alignment horizontal="left" vertical="center"/>
      <protection locked="0"/>
    </xf>
    <xf numFmtId="0" fontId="11" fillId="2" borderId="0" xfId="0" applyFont="1" applyFill="1" applyAlignment="1" applyProtection="1">
      <alignment horizontal="right" vertical="center"/>
      <protection locked="0"/>
    </xf>
    <xf numFmtId="0" fontId="13" fillId="0" borderId="0" xfId="0" applyFont="1" applyAlignment="1">
      <alignment vertical="center"/>
    </xf>
    <xf numFmtId="0" fontId="11" fillId="2" borderId="0" xfId="2" applyFont="1" applyFill="1" applyBorder="1" applyAlignment="1" applyProtection="1">
      <alignment horizontal="right" vertical="center" indent="1"/>
      <protection locked="0"/>
    </xf>
    <xf numFmtId="0" fontId="11" fillId="2" borderId="0" xfId="2" applyFont="1" applyFill="1" applyBorder="1" applyAlignment="1" applyProtection="1">
      <alignment horizontal="left" vertical="center" indent="1"/>
      <protection locked="0"/>
    </xf>
    <xf numFmtId="0" fontId="14" fillId="2" borderId="0" xfId="0" applyFont="1" applyFill="1" applyAlignment="1" applyProtection="1">
      <alignment horizontal="left" vertical="top"/>
      <protection locked="0"/>
    </xf>
    <xf numFmtId="0" fontId="11" fillId="2" borderId="0" xfId="2" applyFont="1" applyFill="1" applyBorder="1" applyAlignment="1" applyProtection="1">
      <alignment horizontal="right" vertical="center"/>
      <protection locked="0"/>
    </xf>
    <xf numFmtId="0" fontId="11" fillId="2" borderId="2" xfId="0" applyFont="1" applyFill="1" applyBorder="1" applyAlignment="1">
      <alignment horizontal="right"/>
    </xf>
    <xf numFmtId="0" fontId="15" fillId="2" borderId="0" xfId="0" applyFont="1" applyFill="1" applyAlignment="1" applyProtection="1">
      <alignment horizontal="left" indent="1"/>
      <protection locked="0"/>
    </xf>
    <xf numFmtId="0" fontId="3" fillId="2" borderId="0" xfId="0" applyFont="1" applyFill="1"/>
    <xf numFmtId="0" fontId="16" fillId="2" borderId="2" xfId="0" applyFont="1" applyFill="1" applyBorder="1" applyAlignment="1">
      <alignment horizontal="right" vertical="top"/>
    </xf>
    <xf numFmtId="0" fontId="17" fillId="2" borderId="0" xfId="0" applyFont="1" applyFill="1" applyAlignment="1" applyProtection="1">
      <alignment horizontal="left" indent="1"/>
      <protection locked="0"/>
    </xf>
    <xf numFmtId="0" fontId="3" fillId="3" borderId="0" xfId="0" applyFont="1" applyFill="1"/>
    <xf numFmtId="0" fontId="18" fillId="3" borderId="3" xfId="0" applyFont="1" applyFill="1" applyBorder="1" applyAlignment="1">
      <alignment horizontal="right" vertical="center" indent="1"/>
    </xf>
    <xf numFmtId="0" fontId="16" fillId="2" borderId="0" xfId="0" applyFont="1" applyFill="1" applyAlignment="1">
      <alignment horizontal="right"/>
    </xf>
    <xf numFmtId="14" fontId="19" fillId="2" borderId="0" xfId="0" applyNumberFormat="1" applyFont="1" applyFill="1" applyAlignment="1" applyProtection="1">
      <alignment horizontal="left"/>
      <protection locked="0"/>
    </xf>
    <xf numFmtId="0" fontId="16" fillId="2" borderId="2" xfId="0" applyFont="1" applyFill="1" applyBorder="1" applyAlignment="1">
      <alignment horizontal="right"/>
    </xf>
    <xf numFmtId="0" fontId="16" fillId="2" borderId="0" xfId="0" applyFont="1" applyFill="1" applyAlignment="1">
      <alignment horizontal="right" vertical="center"/>
    </xf>
    <xf numFmtId="0" fontId="19" fillId="2" borderId="0" xfId="0" applyFont="1" applyFill="1" applyAlignment="1" applyProtection="1">
      <alignment horizontal="left" vertical="center"/>
      <protection locked="0"/>
    </xf>
    <xf numFmtId="0" fontId="16" fillId="2" borderId="0" xfId="0" applyFont="1" applyFill="1" applyAlignment="1">
      <alignment horizontal="right" vertical="top"/>
    </xf>
    <xf numFmtId="0" fontId="19" fillId="2" borderId="0" xfId="0" applyFont="1" applyFill="1" applyAlignment="1" applyProtection="1">
      <alignment horizontal="left" vertical="top"/>
      <protection locked="0"/>
    </xf>
    <xf numFmtId="0" fontId="20" fillId="0" borderId="0" xfId="0" applyFont="1" applyAlignment="1">
      <alignment vertical="center"/>
    </xf>
    <xf numFmtId="0" fontId="21" fillId="2" borderId="0" xfId="0" applyFont="1" applyFill="1" applyAlignment="1">
      <alignment horizontal="left"/>
    </xf>
    <xf numFmtId="0" fontId="21" fillId="2" borderId="0" xfId="0" applyFont="1" applyFill="1"/>
    <xf numFmtId="0" fontId="22" fillId="2" borderId="5" xfId="0" applyFont="1" applyFill="1" applyBorder="1" applyAlignment="1">
      <alignment horizontal="center" vertical="center"/>
    </xf>
    <xf numFmtId="0" fontId="22" fillId="2" borderId="1" xfId="0" applyFont="1" applyFill="1" applyBorder="1" applyAlignment="1">
      <alignment horizontal="right" vertical="center"/>
    </xf>
    <xf numFmtId="2" fontId="17" fillId="2" borderId="7" xfId="0" applyNumberFormat="1" applyFont="1" applyFill="1" applyBorder="1" applyAlignment="1" applyProtection="1">
      <alignment horizontal="center" vertical="center"/>
      <protection locked="0"/>
    </xf>
    <xf numFmtId="43" fontId="17" fillId="2" borderId="7" xfId="0" applyNumberFormat="1" applyFont="1" applyFill="1" applyBorder="1" applyAlignment="1" applyProtection="1">
      <alignment horizontal="right" vertical="center" indent="1"/>
      <protection locked="0"/>
    </xf>
    <xf numFmtId="43" fontId="17" fillId="0" borderId="8" xfId="0" applyNumberFormat="1" applyFont="1" applyBorder="1" applyAlignment="1">
      <alignment horizontal="right" vertical="center"/>
    </xf>
    <xf numFmtId="0" fontId="24" fillId="2" borderId="6" xfId="0" applyFont="1" applyFill="1" applyBorder="1" applyAlignment="1">
      <alignment horizontal="right" vertical="center" indent="1"/>
    </xf>
    <xf numFmtId="0" fontId="24" fillId="2" borderId="0" xfId="0" applyFont="1" applyFill="1" applyAlignment="1">
      <alignment horizontal="right" vertical="center" indent="1"/>
    </xf>
    <xf numFmtId="44" fontId="14" fillId="2" borderId="0" xfId="0" applyNumberFormat="1" applyFont="1" applyFill="1" applyAlignment="1">
      <alignment horizontal="right" vertical="center"/>
    </xf>
    <xf numFmtId="0" fontId="24" fillId="2" borderId="0" xfId="0" applyFont="1" applyFill="1" applyAlignment="1">
      <alignment horizontal="left"/>
    </xf>
    <xf numFmtId="0" fontId="17" fillId="3" borderId="9" xfId="0" applyFont="1" applyFill="1" applyBorder="1" applyAlignment="1" applyProtection="1">
      <alignment horizontal="left" vertical="center"/>
      <protection locked="0"/>
    </xf>
    <xf numFmtId="44" fontId="15" fillId="3" borderId="10" xfId="0" applyNumberFormat="1" applyFont="1" applyFill="1" applyBorder="1" applyAlignment="1">
      <alignment horizontal="right" vertical="center"/>
    </xf>
    <xf numFmtId="0" fontId="25" fillId="2" borderId="0" xfId="0" applyFont="1" applyFill="1" applyAlignment="1" applyProtection="1">
      <alignment horizontal="center" vertical="top"/>
      <protection locked="0"/>
    </xf>
    <xf numFmtId="0" fontId="6" fillId="2" borderId="0" xfId="0" applyFont="1" applyFill="1" applyAlignment="1">
      <alignment horizontal="left"/>
    </xf>
    <xf numFmtId="0" fontId="17" fillId="3" borderId="0" xfId="0" applyFont="1" applyFill="1" applyAlignment="1">
      <alignment horizontal="right" vertical="center" indent="1"/>
    </xf>
    <xf numFmtId="0" fontId="27" fillId="0" borderId="0" xfId="0" applyFont="1"/>
    <xf numFmtId="0" fontId="27" fillId="2" borderId="0" xfId="0" applyFont="1" applyFill="1"/>
    <xf numFmtId="0" fontId="28" fillId="0" borderId="0" xfId="0" applyFont="1" applyAlignment="1">
      <alignment horizontal="center"/>
    </xf>
    <xf numFmtId="0" fontId="26" fillId="0" borderId="0" xfId="0" applyFont="1"/>
    <xf numFmtId="0" fontId="0" fillId="0" borderId="0" xfId="0" applyAlignment="1">
      <alignment vertical="center" wrapText="1"/>
    </xf>
    <xf numFmtId="0" fontId="23" fillId="2" borderId="0" xfId="0" applyFont="1" applyFill="1"/>
    <xf numFmtId="2" fontId="17" fillId="2" borderId="12" xfId="0" applyNumberFormat="1" applyFont="1" applyFill="1" applyBorder="1" applyAlignment="1" applyProtection="1">
      <alignment horizontal="center" vertical="center"/>
      <protection locked="0"/>
    </xf>
    <xf numFmtId="43" fontId="17" fillId="0" borderId="11" xfId="0" applyNumberFormat="1" applyFont="1" applyBorder="1" applyAlignment="1">
      <alignment horizontal="right" vertical="center"/>
    </xf>
    <xf numFmtId="43" fontId="0" fillId="0" borderId="0" xfId="0" applyNumberFormat="1"/>
    <xf numFmtId="0" fontId="3" fillId="0" borderId="0" xfId="0" applyFont="1" applyAlignment="1" applyProtection="1">
      <alignment horizontal="left"/>
      <protection locked="0"/>
    </xf>
    <xf numFmtId="0" fontId="30" fillId="0" borderId="0" xfId="0" applyFont="1" applyAlignment="1">
      <alignment horizontal="left"/>
    </xf>
    <xf numFmtId="0" fontId="7" fillId="0" borderId="0" xfId="2" applyFill="1" applyAlignment="1" applyProtection="1">
      <alignment horizontal="left"/>
      <protection locked="0"/>
    </xf>
    <xf numFmtId="164" fontId="14" fillId="2" borderId="0" xfId="0" applyNumberFormat="1" applyFont="1" applyFill="1" applyAlignment="1" applyProtection="1">
      <alignment horizontal="right" vertical="center"/>
      <protection locked="0"/>
    </xf>
    <xf numFmtId="43" fontId="17" fillId="2" borderId="13" xfId="0" applyNumberFormat="1" applyFont="1" applyFill="1" applyBorder="1" applyAlignment="1" applyProtection="1">
      <alignment horizontal="right" vertical="center" indent="1"/>
      <protection locked="0"/>
    </xf>
    <xf numFmtId="49" fontId="17" fillId="3" borderId="0" xfId="0" applyNumberFormat="1" applyFont="1" applyFill="1" applyAlignment="1">
      <alignment horizontal="right" vertical="center" indent="1"/>
    </xf>
    <xf numFmtId="0" fontId="22" fillId="0" borderId="5" xfId="0" applyFont="1" applyBorder="1" applyAlignment="1">
      <alignment horizontal="center" vertical="center" wrapText="1"/>
    </xf>
    <xf numFmtId="2" fontId="17" fillId="2" borderId="13" xfId="0" applyNumberFormat="1" applyFont="1" applyFill="1" applyBorder="1" applyAlignment="1" applyProtection="1">
      <alignment horizontal="center" vertical="center"/>
      <protection locked="0"/>
    </xf>
    <xf numFmtId="0" fontId="17" fillId="2" borderId="14" xfId="0" applyFont="1" applyFill="1" applyBorder="1" applyAlignment="1" applyProtection="1">
      <alignment horizontal="left" indent="1"/>
      <protection locked="0"/>
    </xf>
    <xf numFmtId="14" fontId="12" fillId="2" borderId="0" xfId="0" applyNumberFormat="1" applyFont="1" applyFill="1" applyAlignment="1" applyProtection="1">
      <alignment horizontal="left" vertical="center"/>
      <protection locked="0"/>
    </xf>
    <xf numFmtId="0" fontId="12" fillId="2" borderId="0" xfId="2" applyFont="1" applyFill="1" applyBorder="1" applyAlignment="1" applyProtection="1">
      <alignment horizontal="left" vertical="center"/>
      <protection locked="0"/>
    </xf>
    <xf numFmtId="0" fontId="17" fillId="0" borderId="0" xfId="0" applyFont="1" applyAlignment="1" applyProtection="1">
      <alignment horizontal="left" vertical="center"/>
      <protection locked="0"/>
    </xf>
    <xf numFmtId="0" fontId="14" fillId="3" borderId="10" xfId="0" applyFont="1" applyFill="1" applyBorder="1" applyAlignment="1">
      <alignment horizontal="right" vertical="center" indent="1"/>
    </xf>
    <xf numFmtId="0" fontId="12" fillId="0" borderId="0" xfId="0" applyFont="1"/>
    <xf numFmtId="0" fontId="30" fillId="0" borderId="0" xfId="0" applyFont="1"/>
    <xf numFmtId="0" fontId="21" fillId="0" borderId="0" xfId="0" applyFont="1" applyAlignment="1">
      <alignment horizontal="center"/>
    </xf>
    <xf numFmtId="0" fontId="30" fillId="0" borderId="0" xfId="0" applyFont="1" applyAlignment="1">
      <alignment horizontal="center" vertical="top"/>
    </xf>
    <xf numFmtId="0" fontId="22" fillId="2" borderId="4" xfId="0" applyFont="1" applyFill="1" applyBorder="1" applyAlignment="1">
      <alignment vertical="center"/>
    </xf>
    <xf numFmtId="0" fontId="17" fillId="2" borderId="17" xfId="0" applyFont="1" applyFill="1" applyBorder="1" applyAlignment="1" applyProtection="1">
      <alignment horizontal="left" vertical="center" wrapText="1"/>
      <protection locked="0"/>
    </xf>
    <xf numFmtId="0" fontId="17" fillId="2" borderId="18" xfId="0" applyFont="1" applyFill="1" applyBorder="1" applyAlignment="1" applyProtection="1">
      <alignment horizontal="left" vertical="center" wrapText="1"/>
      <protection locked="0"/>
    </xf>
    <xf numFmtId="0" fontId="31" fillId="2" borderId="0" xfId="0" applyFont="1" applyFill="1" applyAlignment="1" applyProtection="1">
      <alignment horizontal="center" vertical="top" wrapText="1"/>
      <protection locked="0"/>
    </xf>
    <xf numFmtId="0" fontId="30" fillId="0" borderId="0" xfId="0" applyFont="1"/>
    <xf numFmtId="0" fontId="21" fillId="0" borderId="0" xfId="0" applyFont="1" applyAlignment="1">
      <alignment horizontal="center"/>
    </xf>
    <xf numFmtId="0" fontId="33" fillId="2" borderId="0" xfId="0" applyFont="1" applyFill="1" applyAlignment="1" applyProtection="1">
      <alignment horizontal="center" vertical="top"/>
      <protection locked="0"/>
    </xf>
    <xf numFmtId="0" fontId="30" fillId="0" borderId="0" xfId="0" applyFont="1" applyAlignment="1">
      <alignment horizontal="center" vertical="top"/>
    </xf>
    <xf numFmtId="0" fontId="17" fillId="2" borderId="19" xfId="0" applyFont="1" applyFill="1" applyBorder="1" applyAlignment="1" applyProtection="1">
      <alignment horizontal="left" vertical="center" wrapText="1"/>
      <protection locked="0"/>
    </xf>
    <xf numFmtId="0" fontId="17" fillId="2" borderId="20" xfId="0" applyFont="1" applyFill="1" applyBorder="1" applyAlignment="1" applyProtection="1">
      <alignment horizontal="left" vertical="center" wrapText="1"/>
      <protection locked="0"/>
    </xf>
    <xf numFmtId="0" fontId="22" fillId="2" borderId="11" xfId="0" applyFont="1" applyFill="1" applyBorder="1" applyAlignment="1">
      <alignment vertical="center"/>
    </xf>
    <xf numFmtId="0" fontId="17" fillId="2" borderId="0" xfId="0" applyFont="1" applyFill="1" applyAlignment="1" applyProtection="1">
      <alignment horizontal="left" vertical="center" wrapText="1"/>
      <protection locked="0"/>
    </xf>
    <xf numFmtId="0" fontId="17" fillId="2" borderId="21" xfId="0" applyFont="1" applyFill="1" applyBorder="1" applyAlignment="1" applyProtection="1">
      <alignment horizontal="left" vertical="center" wrapText="1"/>
      <protection locked="0"/>
    </xf>
    <xf numFmtId="0" fontId="12" fillId="3" borderId="0" xfId="0" applyFont="1" applyFill="1" applyAlignment="1">
      <alignment horizontal="center"/>
    </xf>
    <xf numFmtId="0" fontId="17" fillId="2" borderId="17" xfId="0" applyFont="1" applyFill="1" applyBorder="1" applyAlignment="1" applyProtection="1">
      <alignment vertical="center" wrapText="1"/>
      <protection locked="0"/>
    </xf>
    <xf numFmtId="0" fontId="17" fillId="2" borderId="18" xfId="0" applyFont="1" applyFill="1" applyBorder="1" applyAlignment="1" applyProtection="1">
      <alignment vertical="center" wrapText="1"/>
      <protection locked="0"/>
    </xf>
    <xf numFmtId="0" fontId="17" fillId="2" borderId="19" xfId="0" applyFont="1" applyFill="1" applyBorder="1" applyAlignment="1" applyProtection="1">
      <alignment vertical="center" wrapText="1"/>
      <protection locked="0"/>
    </xf>
    <xf numFmtId="0" fontId="17" fillId="2" borderId="20" xfId="0" applyFont="1" applyFill="1" applyBorder="1" applyAlignment="1" applyProtection="1">
      <alignment vertical="center" wrapText="1"/>
      <protection locked="0"/>
    </xf>
    <xf numFmtId="0" fontId="22" fillId="2" borderId="1" xfId="0" applyFont="1" applyFill="1" applyBorder="1" applyAlignment="1">
      <alignment vertical="center"/>
    </xf>
    <xf numFmtId="0" fontId="22" fillId="2" borderId="4" xfId="0" applyFont="1" applyFill="1" applyBorder="1" applyAlignment="1">
      <alignment vertical="center"/>
    </xf>
    <xf numFmtId="0" fontId="17" fillId="2" borderId="15" xfId="0" applyFont="1" applyFill="1" applyBorder="1" applyAlignment="1" applyProtection="1">
      <alignment vertical="center" wrapText="1"/>
      <protection locked="0"/>
    </xf>
    <xf numFmtId="0" fontId="17" fillId="2" borderId="16" xfId="0" applyFont="1" applyFill="1" applyBorder="1" applyAlignment="1" applyProtection="1">
      <alignment vertical="center" wrapText="1"/>
      <protection locked="0"/>
    </xf>
  </cellXfs>
  <cellStyles count="3">
    <cellStyle name="Comma" xfId="1" builtinId="3"/>
    <cellStyle name="Hyperlink" xfId="2" builtinId="8"/>
    <cellStyle name="Normal" xfId="0" builtinId="0"/>
  </cellStyles>
  <dxfs count="16">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numFmt numFmtId="35" formatCode="_(* #,##0.00_);_(* \(#,##0.00\);_(* &quot;-&quot;??_);_(@_)"/>
    </dxf>
    <dxf>
      <font>
        <b val="0"/>
        <i val="0"/>
        <strike val="0"/>
        <condense val="0"/>
        <extend val="0"/>
        <outline val="0"/>
        <shadow val="0"/>
        <u val="none"/>
        <vertAlign val="baseline"/>
        <sz val="10"/>
        <color auto="1"/>
        <name val="Arial"/>
        <family val="2"/>
        <scheme val="none"/>
      </font>
      <fill>
        <patternFill patternType="none">
          <fgColor indexed="64"/>
          <bgColor indexed="65"/>
        </patternFill>
      </fill>
      <alignment horizontal="left" vertical="bottom" textRotation="0" wrapText="0" indent="0" justifyLastLine="0" shrinkToFit="0" readingOrder="0"/>
      <protection locked="0" hidden="0"/>
    </dxf>
    <dxf>
      <font>
        <b val="0"/>
        <i val="0"/>
        <strike val="0"/>
        <condense val="0"/>
        <extend val="0"/>
        <outline val="0"/>
        <shadow val="0"/>
        <u val="none"/>
        <vertAlign val="baseline"/>
        <sz val="10"/>
        <color auto="1"/>
        <name val="Arial"/>
        <family val="2"/>
        <scheme val="none"/>
      </font>
      <fill>
        <patternFill patternType="none">
          <fgColor indexed="64"/>
          <bgColor indexed="65"/>
        </patternFill>
      </fill>
      <alignment horizontal="left" vertical="bottom" textRotation="0" wrapText="0" indent="0" justifyLastLine="0" shrinkToFit="0" readingOrder="0"/>
      <protection locked="0" hidden="0"/>
    </dxf>
    <dxf>
      <font>
        <b val="0"/>
        <i val="0"/>
        <strike val="0"/>
        <condense val="0"/>
        <extend val="0"/>
        <outline val="0"/>
        <shadow val="0"/>
        <u val="none"/>
        <vertAlign val="baseline"/>
        <sz val="10"/>
        <color auto="1"/>
        <name val="Arial"/>
        <family val="2"/>
        <scheme val="none"/>
      </font>
      <fill>
        <patternFill patternType="none">
          <fgColor indexed="64"/>
          <bgColor indexed="65"/>
        </patternFill>
      </fill>
      <alignment horizontal="left" vertical="bottom" textRotation="0" wrapText="0" indent="0" justifyLastLine="0" shrinkToFit="0" readingOrder="0"/>
      <protection locked="0" hidden="0"/>
    </dxf>
    <dxf>
      <font>
        <b val="0"/>
        <i val="0"/>
        <strike val="0"/>
        <condense val="0"/>
        <extend val="0"/>
        <outline val="0"/>
        <shadow val="0"/>
        <u val="none"/>
        <vertAlign val="baseline"/>
        <sz val="11"/>
        <color auto="1"/>
        <name val="Calibri"/>
        <family val="2"/>
        <scheme val="minor"/>
      </font>
      <fill>
        <patternFill patternType="none">
          <fgColor indexed="64"/>
          <bgColor indexed="65"/>
        </patternFill>
      </fill>
      <alignment horizontal="left" vertical="bottom" textRotation="0" wrapText="0" indent="0" justifyLastLine="0" shrinkToFit="0" readingOrder="0"/>
    </dxf>
    <dxf>
      <font>
        <b val="0"/>
        <i val="0"/>
        <strike val="0"/>
        <condense val="0"/>
        <extend val="0"/>
        <outline val="0"/>
        <shadow val="0"/>
        <u val="none"/>
        <vertAlign val="baseline"/>
        <sz val="10"/>
        <color auto="1"/>
        <name val="Arial"/>
        <family val="2"/>
        <scheme val="none"/>
      </font>
      <fill>
        <patternFill patternType="none">
          <fgColor indexed="64"/>
          <bgColor indexed="65"/>
        </patternFill>
      </fill>
      <alignment horizontal="left" vertical="bottom" textRotation="0" wrapText="0" indent="0" justifyLastLine="0" shrinkToFit="0" readingOrder="0"/>
      <protection locked="0" hidden="0"/>
    </dxf>
    <dxf>
      <font>
        <b val="0"/>
        <i val="0"/>
        <strike val="0"/>
        <condense val="0"/>
        <extend val="0"/>
        <outline val="0"/>
        <shadow val="0"/>
        <u val="none"/>
        <vertAlign val="baseline"/>
        <sz val="10"/>
        <color auto="1"/>
        <name val="Arial"/>
        <family val="2"/>
        <scheme val="none"/>
      </font>
      <fill>
        <patternFill patternType="none">
          <fgColor indexed="64"/>
          <bgColor indexed="65"/>
        </patternFill>
      </fill>
      <alignment horizontal="left" vertical="bottom" textRotation="0" wrapText="0" indent="0" justifyLastLine="0" shrinkToFit="0" readingOrder="0"/>
      <protection locked="0" hidden="0"/>
    </dxf>
    <dxf>
      <font>
        <b val="0"/>
        <i val="0"/>
        <strike val="0"/>
        <condense val="0"/>
        <extend val="0"/>
        <outline val="0"/>
        <shadow val="0"/>
        <u val="none"/>
        <vertAlign val="baseline"/>
        <sz val="10"/>
        <color auto="1"/>
        <name val="Arial"/>
        <family val="2"/>
        <scheme val="none"/>
      </font>
      <fill>
        <patternFill patternType="none">
          <fgColor indexed="64"/>
          <bgColor indexed="65"/>
        </patternFill>
      </fill>
      <alignment horizontal="left" vertical="bottom" textRotation="0" wrapText="0" indent="0" justifyLastLine="0" shrinkToFit="0" readingOrder="0"/>
      <protection locked="0" hidden="0"/>
    </dxf>
    <dxf>
      <font>
        <b val="0"/>
        <i val="0"/>
        <strike val="0"/>
        <condense val="0"/>
        <extend val="0"/>
        <outline val="0"/>
        <shadow val="0"/>
        <u val="none"/>
        <vertAlign val="baseline"/>
        <sz val="10"/>
        <color auto="1"/>
        <name val="Arial"/>
        <family val="2"/>
        <scheme val="none"/>
      </font>
      <fill>
        <patternFill patternType="none">
          <fgColor indexed="64"/>
          <bgColor indexed="65"/>
        </patternFill>
      </fill>
      <alignment horizontal="left" vertical="bottom" textRotation="0" wrapText="0" indent="0" justifyLastLine="0" shrinkToFit="0" readingOrder="0"/>
      <protection locked="0" hidden="0"/>
    </dxf>
    <dxf>
      <font>
        <b val="0"/>
        <i val="0"/>
        <strike val="0"/>
        <condense val="0"/>
        <extend val="0"/>
        <outline val="0"/>
        <shadow val="0"/>
        <u val="none"/>
        <vertAlign val="baseline"/>
        <sz val="10"/>
        <color auto="1"/>
        <name val="Arial"/>
        <family val="2"/>
        <scheme val="none"/>
      </font>
      <fill>
        <patternFill patternType="none">
          <fgColor indexed="64"/>
          <bgColor indexed="65"/>
        </patternFill>
      </fill>
      <alignment horizontal="left" vertical="bottom" textRotation="0" wrapText="0" indent="0" justifyLastLine="0" shrinkToFit="0" readingOrder="0"/>
      <protection locked="0" hidden="0"/>
    </dxf>
    <dxf>
      <font>
        <b val="0"/>
        <i val="0"/>
        <strike val="0"/>
        <condense val="0"/>
        <extend val="0"/>
        <outline val="0"/>
        <shadow val="0"/>
        <u val="none"/>
        <vertAlign val="baseline"/>
        <sz val="10"/>
        <color auto="1"/>
        <name val="Arial"/>
        <family val="2"/>
        <scheme val="none"/>
      </font>
      <fill>
        <patternFill patternType="none">
          <fgColor indexed="64"/>
          <bgColor indexed="65"/>
        </patternFill>
      </fill>
      <alignment horizontal="left" vertical="bottom" textRotation="0" wrapText="0" indent="0" justifyLastLine="0" shrinkToFit="0" readingOrder="0"/>
      <protection locked="0" hidden="0"/>
    </dxf>
    <dxf>
      <font>
        <b val="0"/>
        <i val="0"/>
        <strike val="0"/>
        <condense val="0"/>
        <extend val="0"/>
        <outline val="0"/>
        <shadow val="0"/>
        <u val="none"/>
        <vertAlign val="baseline"/>
        <sz val="10"/>
        <color auto="1"/>
        <name val="Arial"/>
        <family val="2"/>
        <scheme val="none"/>
      </font>
      <fill>
        <patternFill patternType="none">
          <fgColor indexed="64"/>
          <bgColor indexed="65"/>
        </patternFill>
      </fill>
      <alignment horizontal="left" vertical="bottom" textRotation="0" wrapText="0" indent="0" justifyLastLine="0" shrinkToFit="0" readingOrder="0"/>
      <protection locked="0" hidden="0"/>
    </dxf>
    <dxf>
      <font>
        <b val="0"/>
        <i val="0"/>
        <strike val="0"/>
        <condense val="0"/>
        <extend val="0"/>
        <outline val="0"/>
        <shadow val="0"/>
        <u val="none"/>
        <vertAlign val="baseline"/>
        <sz val="10"/>
        <color auto="1"/>
        <name val="Arial"/>
        <family val="2"/>
        <scheme val="none"/>
      </font>
      <fill>
        <patternFill patternType="none">
          <fgColor indexed="64"/>
          <bgColor indexed="65"/>
        </patternFill>
      </fill>
      <alignment horizontal="left" vertical="bottom" textRotation="0" wrapText="0" indent="0" justifyLastLine="0" shrinkToFit="0" readingOrder="0"/>
      <protection locked="0" hidden="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144779</xdr:colOff>
      <xdr:row>0</xdr:row>
      <xdr:rowOff>167836</xdr:rowOff>
    </xdr:from>
    <xdr:to>
      <xdr:col>3</xdr:col>
      <xdr:colOff>277615</xdr:colOff>
      <xdr:row>2</xdr:row>
      <xdr:rowOff>53340</xdr:rowOff>
    </xdr:to>
    <xdr:pic>
      <xdr:nvPicPr>
        <xdr:cNvPr id="2" name="Picture 1">
          <a:extLst>
            <a:ext uri="{FF2B5EF4-FFF2-40B4-BE49-F238E27FC236}">
              <a16:creationId xmlns:a16="http://schemas.microsoft.com/office/drawing/2014/main" id="{E4C1F44F-DC59-4FB4-AE5B-7D7F5646C2F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xdr:blipFill>
      <xdr:spPr>
        <a:xfrm>
          <a:off x="144779" y="167836"/>
          <a:ext cx="2437886" cy="59035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146684</xdr:colOff>
      <xdr:row>0</xdr:row>
      <xdr:rowOff>181171</xdr:rowOff>
    </xdr:from>
    <xdr:to>
      <xdr:col>3</xdr:col>
      <xdr:colOff>275710</xdr:colOff>
      <xdr:row>2</xdr:row>
      <xdr:rowOff>62865</xdr:rowOff>
    </xdr:to>
    <xdr:pic>
      <xdr:nvPicPr>
        <xdr:cNvPr id="5" name="Picture 4">
          <a:extLst>
            <a:ext uri="{FF2B5EF4-FFF2-40B4-BE49-F238E27FC236}">
              <a16:creationId xmlns:a16="http://schemas.microsoft.com/office/drawing/2014/main" id="{BE750FB9-E917-116F-EF55-EB77B0419ED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xdr:blipFill>
      <xdr:spPr>
        <a:xfrm>
          <a:off x="146684" y="181171"/>
          <a:ext cx="2434076" cy="586544"/>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4</xdr:col>
      <xdr:colOff>297180</xdr:colOff>
      <xdr:row>0</xdr:row>
      <xdr:rowOff>106680</xdr:rowOff>
    </xdr:from>
    <xdr:to>
      <xdr:col>13</xdr:col>
      <xdr:colOff>358140</xdr:colOff>
      <xdr:row>4</xdr:row>
      <xdr:rowOff>60960</xdr:rowOff>
    </xdr:to>
    <xdr:sp macro="" textlink="">
      <xdr:nvSpPr>
        <xdr:cNvPr id="2" name="TextBox 1">
          <a:extLst>
            <a:ext uri="{FF2B5EF4-FFF2-40B4-BE49-F238E27FC236}">
              <a16:creationId xmlns:a16="http://schemas.microsoft.com/office/drawing/2014/main" id="{71558BE6-434B-DF55-4629-1FF9B2FB1D34}"/>
            </a:ext>
          </a:extLst>
        </xdr:cNvPr>
        <xdr:cNvSpPr txBox="1"/>
      </xdr:nvSpPr>
      <xdr:spPr>
        <a:xfrm>
          <a:off x="6179820" y="106680"/>
          <a:ext cx="5547360" cy="6858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rgbClr val="C00000"/>
              </a:solidFill>
              <a:effectLst/>
              <a:latin typeface="+mn-lt"/>
              <a:ea typeface="+mn-ea"/>
              <a:cs typeface="+mn-cs"/>
            </a:rPr>
            <a:t>Only mark goods and services as nontaxable when supported by Arizona statute and be prepared to substantiate in the event of an audit. More information, including Tax Services contact information, can be found here: </a:t>
          </a:r>
          <a:r>
            <a:rPr lang="en-US" sz="1100" u="sng">
              <a:solidFill>
                <a:schemeClr val="dk1"/>
              </a:solidFill>
              <a:effectLst/>
              <a:latin typeface="+mn-lt"/>
              <a:ea typeface="+mn-ea"/>
              <a:cs typeface="+mn-cs"/>
              <a:hlinkClick xmlns:r="http://schemas.openxmlformats.org/officeDocument/2006/relationships" r:id=""/>
            </a:rPr>
            <a:t>https://finance.arizona.edu/tax-services/az-sales-use</a:t>
          </a:r>
          <a:r>
            <a:rPr lang="en-US" sz="1100">
              <a:solidFill>
                <a:schemeClr val="dk1"/>
              </a:solidFill>
              <a:effectLst/>
              <a:latin typeface="+mn-lt"/>
              <a:ea typeface="+mn-ea"/>
              <a:cs typeface="+mn-cs"/>
            </a:rPr>
            <a:t>.</a:t>
          </a:r>
          <a:endParaRPr lang="en-US" sz="1100"/>
        </a:p>
      </xdr:txBody>
    </xdr:sp>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E30B9560-E40E-4320-B6C1-94C2A158AD5B}" name="Customers" displayName="Customers" ref="A1:J4" totalsRowShown="0" headerRowDxfId="15" dataDxfId="14">
  <autoFilter ref="A1:J4" xr:uid="{E30B9560-E40E-4320-B6C1-94C2A158AD5B}"/>
  <tableColumns count="10">
    <tableColumn id="1" xr3:uid="{21C4E444-D722-4C38-BB3A-9E5346FED7A6}" name="Customer Name" dataDxfId="13"/>
    <tableColumn id="2" xr3:uid="{CDA1DF74-2DE5-4C95-8672-47E0CEE98774}" name="Address 1" dataDxfId="12"/>
    <tableColumn id="3" xr3:uid="{7D709533-DF60-4A7B-84E3-7677F5D66CA9}" name="Address 2" dataDxfId="11"/>
    <tableColumn id="4" xr3:uid="{8204F482-5D53-4EF5-A423-20BD292B63BA}" name="City" dataDxfId="10"/>
    <tableColumn id="5" xr3:uid="{8C2954B2-6B88-4A73-98C9-BD8B6893E5B6}" name="State" dataDxfId="9"/>
    <tableColumn id="6" xr3:uid="{7DD3DAC1-B660-4A43-AE97-FDC616B3C55B}" name="Zip" dataDxfId="8"/>
    <tableColumn id="7" xr3:uid="{35A34C08-96AC-4B66-926C-4EF72E0F3833}" name="Phone" dataDxfId="7"/>
    <tableColumn id="8" xr3:uid="{4B7BA7F4-2D93-4019-B694-632A1CD5B0BF}" name="Billing Email" dataDxfId="6"/>
    <tableColumn id="9" xr3:uid="{3CC2CE96-34CC-4370-93BD-24E49BBD10D5}" name="Contact Email" dataDxfId="5"/>
    <tableColumn id="10" xr3:uid="{19537849-6086-4872-ABA1-76C2FF1568D5}" name="Tax Exempt?" dataDxfId="4"/>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9F46B7FC-8083-4F1F-A816-12F7B6E7EFE1}" name="Catalog" displayName="Catalog" ref="A1:D3" totalsRowShown="0">
  <autoFilter ref="A1:D3" xr:uid="{9F46B7FC-8083-4F1F-A816-12F7B6E7EFE1}"/>
  <tableColumns count="4">
    <tableColumn id="1" xr3:uid="{0947FABB-C69F-4A04-897A-8B84C7068F77}" name="Item Description"/>
    <tableColumn id="2" xr3:uid="{C4408D95-E9AA-471A-B3D6-FDE6919B34FE}" name="Unit Price" dataDxfId="3"/>
    <tableColumn id="3" xr3:uid="{8C1D7F7B-64A6-4FA3-AC7D-E7A232172E0B}" name="Classification"/>
    <tableColumn id="4" xr3:uid="{637D0DFC-0F6C-4B98-A1EF-1B0799AC4C9C}" name="Taxable?"/>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8F07AE6-43F6-447F-969E-64BA8133B8FD}" name="Terms" displayName="Terms" ref="A1:B8" totalsRowShown="0" dataDxfId="2">
  <autoFilter ref="A1:B8" xr:uid="{A8F07AE6-43F6-447F-969E-64BA8133B8FD}"/>
  <tableColumns count="2">
    <tableColumn id="1" xr3:uid="{C86B1320-593A-46FF-9425-5564AD0E263A}" name="Term" dataDxfId="1"/>
    <tableColumn id="2" xr3:uid="{AC47CCDA-7309-45CF-89FE-ACEA02DC76F8}" name="Term Description" dataDxfId="0"/>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1629C40-55F3-4546-80FC-4E20825987A2}" name="YesNo" displayName="YesNo" ref="A1:A3" totalsRowShown="0">
  <autoFilter ref="A1:A3" xr:uid="{E1629C40-55F3-4546-80FC-4E20825987A2}"/>
  <tableColumns count="1">
    <tableColumn id="1" xr3:uid="{B5947662-F005-404E-B789-AFE5CD743085}" name="Yes/No"/>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92B15D0B-B350-426B-B621-797505AF4BE7}" name="Classifications" displayName="Classifications" ref="C1:C3" totalsRowShown="0">
  <autoFilter ref="C1:C3" xr:uid="{92B15D0B-B350-426B-B621-797505AF4BE7}"/>
  <tableColumns count="1">
    <tableColumn id="1" xr3:uid="{E618C743-894C-45B1-A3B9-BBEF46558F34}" name="Classifications"/>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hyperlink" Target="mailto:test@customerurl.com" TargetMode="External"/><Relationship Id="rId1" Type="http://schemas.openxmlformats.org/officeDocument/2006/relationships/hyperlink" Target="mailto:test@example.com" TargetMode="External"/></Relationships>
</file>

<file path=xl/worksheets/_rels/sheet4.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3.xml"/></Relationships>
</file>

<file path=xl/worksheets/_rels/sheet6.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D4F7CC-B825-46EF-AD6E-60EC3BF94891}">
  <sheetPr>
    <pageSetUpPr fitToPage="1"/>
  </sheetPr>
  <dimension ref="A1:W43"/>
  <sheetViews>
    <sheetView showGridLines="0" zoomScaleNormal="100" workbookViewId="0">
      <selection activeCell="K20" sqref="K20"/>
    </sheetView>
  </sheetViews>
  <sheetFormatPr defaultColWidth="9.109375" defaultRowHeight="13.2" x14ac:dyDescent="0.25"/>
  <cols>
    <col min="1" max="1" width="6.33203125" style="2" customWidth="1"/>
    <col min="2" max="2" width="20.33203125" style="2" customWidth="1"/>
    <col min="3" max="3" width="6.88671875" style="2" customWidth="1"/>
    <col min="4" max="4" width="20.33203125" style="2" customWidth="1"/>
    <col min="5" max="5" width="7" style="2" customWidth="1"/>
    <col min="6" max="6" width="20.33203125" style="2" customWidth="1"/>
    <col min="7" max="7" width="7.44140625" style="2" bestFit="1" customWidth="1"/>
    <col min="8" max="8" width="11.6640625" style="2" customWidth="1"/>
    <col min="9" max="9" width="16.6640625" style="2" customWidth="1"/>
    <col min="10" max="10" width="2" style="2" customWidth="1"/>
    <col min="11" max="11" width="29.44140625" style="2" customWidth="1"/>
    <col min="12" max="16384" width="9.109375" style="2"/>
  </cols>
  <sheetData>
    <row r="1" spans="1:23" ht="18" customHeight="1" x14ac:dyDescent="0.25">
      <c r="A1" s="1"/>
      <c r="B1" s="1"/>
      <c r="C1" s="1"/>
      <c r="D1" s="1"/>
      <c r="E1" s="1"/>
      <c r="F1" s="1"/>
      <c r="G1" s="1"/>
      <c r="H1" s="1"/>
      <c r="I1" s="1"/>
    </row>
    <row r="2" spans="1:23" ht="37.5" customHeight="1" x14ac:dyDescent="0.6">
      <c r="A2" s="3"/>
      <c r="B2" s="3"/>
      <c r="C2" s="3"/>
      <c r="D2" s="3"/>
      <c r="E2" s="3"/>
      <c r="F2" s="3"/>
      <c r="G2" s="3"/>
      <c r="H2" s="4"/>
      <c r="I2" s="5" t="s">
        <v>0</v>
      </c>
      <c r="K2" s="46"/>
      <c r="L2" s="48"/>
    </row>
    <row r="3" spans="1:23" ht="18" customHeight="1" x14ac:dyDescent="0.25">
      <c r="A3" s="6"/>
      <c r="B3" s="6"/>
      <c r="C3" s="6"/>
      <c r="D3" s="6"/>
      <c r="E3" s="6"/>
      <c r="F3" s="6"/>
      <c r="G3" s="6"/>
      <c r="H3" s="7"/>
      <c r="I3" s="7"/>
      <c r="K3" s="8"/>
    </row>
    <row r="4" spans="1:23" s="9" customFormat="1" ht="18.899999999999999" customHeight="1" x14ac:dyDescent="0.3">
      <c r="D4" s="10"/>
      <c r="E4" s="10"/>
      <c r="F4" s="10"/>
      <c r="G4" s="10"/>
      <c r="H4" s="11" t="s">
        <v>1</v>
      </c>
      <c r="I4" s="66">
        <f ca="1">TODAY()</f>
        <v>46084</v>
      </c>
      <c r="K4" s="12" t="s">
        <v>2</v>
      </c>
    </row>
    <row r="5" spans="1:23" ht="18.899999999999999" customHeight="1" x14ac:dyDescent="0.25">
      <c r="A5" s="13"/>
      <c r="B5" s="13"/>
      <c r="C5" s="14"/>
      <c r="D5" s="15"/>
      <c r="E5" s="15"/>
      <c r="F5" s="13"/>
      <c r="G5" s="13"/>
      <c r="H5" s="16" t="s">
        <v>3</v>
      </c>
      <c r="I5" s="67"/>
      <c r="K5" s="12" t="s">
        <v>75</v>
      </c>
      <c r="N5" s="48"/>
      <c r="W5" s="49"/>
    </row>
    <row r="6" spans="1:23" ht="18.899999999999999" customHeight="1" x14ac:dyDescent="0.25">
      <c r="A6" s="13"/>
      <c r="B6" s="13"/>
      <c r="C6" s="14"/>
      <c r="D6" s="15"/>
      <c r="E6" s="14"/>
      <c r="F6" s="13"/>
      <c r="G6" s="13"/>
      <c r="H6" s="13" t="s">
        <v>4</v>
      </c>
      <c r="I6" s="67"/>
      <c r="K6" s="12" t="s">
        <v>72</v>
      </c>
      <c r="M6" s="48"/>
      <c r="N6" s="48"/>
      <c r="W6" s="49"/>
    </row>
    <row r="7" spans="1:23" ht="18.899999999999999" customHeight="1" x14ac:dyDescent="0.25">
      <c r="A7" s="17" t="s">
        <v>5</v>
      </c>
      <c r="B7" s="18" t="s">
        <v>6</v>
      </c>
      <c r="C7" s="17" t="s">
        <v>93</v>
      </c>
      <c r="D7" s="18" t="s">
        <v>6</v>
      </c>
      <c r="E7" s="17" t="s">
        <v>7</v>
      </c>
      <c r="F7" s="18" t="s">
        <v>8</v>
      </c>
      <c r="G7" s="70"/>
      <c r="H7" s="70"/>
      <c r="I7" s="70"/>
      <c r="K7" s="12" t="s">
        <v>94</v>
      </c>
      <c r="L7" s="19"/>
      <c r="M7" s="19"/>
    </row>
    <row r="8" spans="1:23" ht="18.899999999999999" customHeight="1" x14ac:dyDescent="0.25">
      <c r="A8" s="20" t="s">
        <v>9</v>
      </c>
      <c r="B8" s="65" t="s">
        <v>11</v>
      </c>
      <c r="C8" s="20" t="s">
        <v>9</v>
      </c>
      <c r="D8" s="65" t="s">
        <v>11</v>
      </c>
      <c r="E8" s="20" t="s">
        <v>9</v>
      </c>
      <c r="F8" s="65" t="s">
        <v>11</v>
      </c>
      <c r="G8" s="87" t="s">
        <v>92</v>
      </c>
      <c r="H8" s="87"/>
      <c r="I8" s="87"/>
      <c r="K8" s="12"/>
      <c r="L8" s="24"/>
      <c r="M8" s="25"/>
      <c r="N8" s="19"/>
    </row>
    <row r="9" spans="1:23" ht="18.899999999999999" customHeight="1" x14ac:dyDescent="0.25">
      <c r="A9" s="26"/>
      <c r="B9" s="65" t="s">
        <v>13</v>
      </c>
      <c r="C9" s="21"/>
      <c r="D9" s="65" t="s">
        <v>13</v>
      </c>
      <c r="E9" s="21"/>
      <c r="F9" s="65" t="s">
        <v>13</v>
      </c>
      <c r="G9" s="22"/>
      <c r="H9" s="23" t="s">
        <v>12</v>
      </c>
      <c r="I9" s="47"/>
      <c r="K9" s="19"/>
      <c r="L9" s="27"/>
      <c r="M9" s="28"/>
      <c r="N9" s="19"/>
    </row>
    <row r="10" spans="1:23" ht="18.899999999999999" customHeight="1" x14ac:dyDescent="0.25">
      <c r="A10" s="26"/>
      <c r="B10" s="65" t="s">
        <v>85</v>
      </c>
      <c r="C10" s="21"/>
      <c r="D10" s="65" t="s">
        <v>85</v>
      </c>
      <c r="E10" s="21"/>
      <c r="F10" s="65" t="s">
        <v>85</v>
      </c>
      <c r="G10" s="22"/>
      <c r="H10" s="23" t="s">
        <v>14</v>
      </c>
      <c r="I10" s="47"/>
      <c r="L10" s="29"/>
      <c r="M10" s="30"/>
      <c r="N10" s="19"/>
    </row>
    <row r="11" spans="1:23" ht="18.899999999999999" customHeight="1" x14ac:dyDescent="0.25">
      <c r="A11" s="26"/>
      <c r="B11" s="65" t="s">
        <v>16</v>
      </c>
      <c r="C11" s="21"/>
      <c r="D11" s="65" t="s">
        <v>16</v>
      </c>
      <c r="E11" s="21"/>
      <c r="F11" s="65" t="s">
        <v>16</v>
      </c>
      <c r="G11" s="22"/>
      <c r="H11" s="23" t="s">
        <v>15</v>
      </c>
      <c r="I11" s="62"/>
      <c r="L11" s="19"/>
      <c r="M11" s="19"/>
      <c r="N11" s="19"/>
    </row>
    <row r="12" spans="1:23" ht="18.899999999999999" customHeight="1" x14ac:dyDescent="0.25">
      <c r="A12" s="26"/>
      <c r="B12" s="65" t="s">
        <v>76</v>
      </c>
      <c r="C12" s="21"/>
      <c r="D12" s="65" t="s">
        <v>76</v>
      </c>
      <c r="E12" s="21"/>
      <c r="F12" s="65" t="s">
        <v>76</v>
      </c>
      <c r="G12" s="22"/>
      <c r="H12" s="23" t="s">
        <v>17</v>
      </c>
      <c r="I12" s="47"/>
      <c r="K12" s="48"/>
      <c r="L12" s="19"/>
      <c r="M12" s="19"/>
      <c r="N12" s="19"/>
    </row>
    <row r="13" spans="1:23" ht="18.899999999999999" customHeight="1" x14ac:dyDescent="0.25">
      <c r="A13" s="32"/>
      <c r="B13" s="32"/>
      <c r="C13" s="21"/>
      <c r="D13" s="21"/>
      <c r="E13" s="21"/>
      <c r="F13" s="32"/>
      <c r="G13" s="32"/>
      <c r="H13" s="33"/>
      <c r="I13" s="33"/>
      <c r="L13" s="19"/>
      <c r="M13" s="19"/>
      <c r="N13" s="19"/>
    </row>
    <row r="14" spans="1:23" ht="18.899999999999999" customHeight="1" x14ac:dyDescent="0.25">
      <c r="A14" s="84" t="s">
        <v>18</v>
      </c>
      <c r="B14" s="84"/>
      <c r="C14" s="84"/>
      <c r="D14" s="84"/>
      <c r="E14" s="74"/>
      <c r="F14" s="34" t="s">
        <v>19</v>
      </c>
      <c r="G14" s="63" t="s">
        <v>20</v>
      </c>
      <c r="H14" s="34" t="s">
        <v>21</v>
      </c>
      <c r="I14" s="35" t="s">
        <v>22</v>
      </c>
      <c r="K14" s="31"/>
    </row>
    <row r="15" spans="1:23" ht="24" customHeight="1" x14ac:dyDescent="0.25">
      <c r="A15" s="85" t="s">
        <v>78</v>
      </c>
      <c r="B15" s="85"/>
      <c r="C15" s="85"/>
      <c r="D15" s="85"/>
      <c r="E15" s="86"/>
      <c r="F15" s="36">
        <v>2</v>
      </c>
      <c r="G15" s="36" t="s">
        <v>48</v>
      </c>
      <c r="H15" s="37">
        <v>50</v>
      </c>
      <c r="I15" s="38">
        <f>ROUND(F15*H15,2)</f>
        <v>100</v>
      </c>
      <c r="K15" s="12" t="s">
        <v>74</v>
      </c>
      <c r="P15" s="48"/>
    </row>
    <row r="16" spans="1:23" ht="24" customHeight="1" x14ac:dyDescent="0.25">
      <c r="A16" s="75"/>
      <c r="B16" s="75"/>
      <c r="C16" s="75"/>
      <c r="D16" s="75"/>
      <c r="E16" s="76"/>
      <c r="F16" s="36"/>
      <c r="G16" s="36"/>
      <c r="H16" s="37"/>
      <c r="I16" s="38">
        <f t="shared" ref="I16:I30" si="0">ROUND(F16*H16,2)</f>
        <v>0</v>
      </c>
      <c r="P16" s="48"/>
    </row>
    <row r="17" spans="1:17" ht="24" customHeight="1" x14ac:dyDescent="0.25">
      <c r="A17" s="75"/>
      <c r="B17" s="75"/>
      <c r="C17" s="75"/>
      <c r="D17" s="75"/>
      <c r="E17" s="76"/>
      <c r="F17" s="36"/>
      <c r="G17" s="36"/>
      <c r="H17" s="37"/>
      <c r="I17" s="38">
        <f t="shared" si="0"/>
        <v>0</v>
      </c>
      <c r="P17" s="48"/>
    </row>
    <row r="18" spans="1:17" ht="24" customHeight="1" x14ac:dyDescent="0.25">
      <c r="A18" s="75"/>
      <c r="B18" s="75"/>
      <c r="C18" s="75"/>
      <c r="D18" s="75"/>
      <c r="E18" s="76"/>
      <c r="F18" s="36"/>
      <c r="G18" s="36"/>
      <c r="H18" s="37"/>
      <c r="I18" s="38">
        <f t="shared" si="0"/>
        <v>0</v>
      </c>
      <c r="P18" s="48"/>
    </row>
    <row r="19" spans="1:17" ht="24" customHeight="1" x14ac:dyDescent="0.25">
      <c r="A19" s="75"/>
      <c r="B19" s="75"/>
      <c r="C19" s="75"/>
      <c r="D19" s="75"/>
      <c r="E19" s="76"/>
      <c r="F19" s="36"/>
      <c r="G19" s="36"/>
      <c r="H19" s="37"/>
      <c r="I19" s="38">
        <f t="shared" si="0"/>
        <v>0</v>
      </c>
      <c r="P19" s="48"/>
    </row>
    <row r="20" spans="1:17" ht="24" customHeight="1" x14ac:dyDescent="0.25">
      <c r="A20" s="75"/>
      <c r="B20" s="75"/>
      <c r="C20" s="75"/>
      <c r="D20" s="75"/>
      <c r="E20" s="76"/>
      <c r="F20" s="36"/>
      <c r="G20" s="36"/>
      <c r="H20" s="37"/>
      <c r="I20" s="38">
        <f t="shared" si="0"/>
        <v>0</v>
      </c>
      <c r="K20" s="31"/>
    </row>
    <row r="21" spans="1:17" ht="24" customHeight="1" x14ac:dyDescent="0.25">
      <c r="A21" s="75"/>
      <c r="B21" s="75"/>
      <c r="C21" s="75"/>
      <c r="D21" s="75"/>
      <c r="E21" s="76"/>
      <c r="F21" s="36"/>
      <c r="G21" s="36"/>
      <c r="H21" s="37"/>
      <c r="I21" s="38">
        <f t="shared" si="0"/>
        <v>0</v>
      </c>
      <c r="K21" s="31"/>
    </row>
    <row r="22" spans="1:17" ht="24" customHeight="1" x14ac:dyDescent="0.25">
      <c r="A22" s="75"/>
      <c r="B22" s="75"/>
      <c r="C22" s="75"/>
      <c r="D22" s="75"/>
      <c r="E22" s="76"/>
      <c r="F22" s="36"/>
      <c r="G22" s="36"/>
      <c r="H22" s="37"/>
      <c r="I22" s="38">
        <f t="shared" si="0"/>
        <v>0</v>
      </c>
    </row>
    <row r="23" spans="1:17" ht="24" customHeight="1" x14ac:dyDescent="0.25">
      <c r="A23" s="75"/>
      <c r="B23" s="75"/>
      <c r="C23" s="75"/>
      <c r="D23" s="75"/>
      <c r="E23" s="76"/>
      <c r="F23" s="36"/>
      <c r="G23" s="36"/>
      <c r="H23" s="37"/>
      <c r="I23" s="38">
        <f t="shared" si="0"/>
        <v>0</v>
      </c>
      <c r="K23" s="31"/>
    </row>
    <row r="24" spans="1:17" ht="24" customHeight="1" x14ac:dyDescent="0.25">
      <c r="A24" s="75"/>
      <c r="B24" s="75"/>
      <c r="C24" s="75"/>
      <c r="D24" s="75"/>
      <c r="E24" s="76"/>
      <c r="F24" s="36"/>
      <c r="G24" s="36"/>
      <c r="H24" s="37"/>
      <c r="I24" s="38">
        <f t="shared" si="0"/>
        <v>0</v>
      </c>
    </row>
    <row r="25" spans="1:17" ht="24" customHeight="1" x14ac:dyDescent="0.25">
      <c r="A25" s="75"/>
      <c r="B25" s="75"/>
      <c r="C25" s="75"/>
      <c r="D25" s="75"/>
      <c r="E25" s="76"/>
      <c r="F25" s="36"/>
      <c r="G25" s="36"/>
      <c r="H25" s="37"/>
      <c r="I25" s="38">
        <f t="shared" si="0"/>
        <v>0</v>
      </c>
    </row>
    <row r="26" spans="1:17" ht="24" customHeight="1" x14ac:dyDescent="0.25">
      <c r="A26" s="75"/>
      <c r="B26" s="75"/>
      <c r="C26" s="75"/>
      <c r="D26" s="75"/>
      <c r="E26" s="76"/>
      <c r="F26" s="36"/>
      <c r="G26" s="36"/>
      <c r="H26" s="37"/>
      <c r="I26" s="38">
        <f t="shared" si="0"/>
        <v>0</v>
      </c>
    </row>
    <row r="27" spans="1:17" ht="24" customHeight="1" x14ac:dyDescent="0.25">
      <c r="A27" s="75"/>
      <c r="B27" s="75"/>
      <c r="C27" s="75"/>
      <c r="D27" s="75"/>
      <c r="E27" s="76"/>
      <c r="F27" s="36"/>
      <c r="G27" s="36"/>
      <c r="H27" s="37"/>
      <c r="I27" s="38">
        <f t="shared" si="0"/>
        <v>0</v>
      </c>
    </row>
    <row r="28" spans="1:17" ht="24" customHeight="1" x14ac:dyDescent="0.25">
      <c r="A28" s="75"/>
      <c r="B28" s="75"/>
      <c r="C28" s="75"/>
      <c r="D28" s="75"/>
      <c r="E28" s="76"/>
      <c r="F28" s="36"/>
      <c r="G28" s="36"/>
      <c r="H28" s="37"/>
      <c r="I28" s="38">
        <f t="shared" si="0"/>
        <v>0</v>
      </c>
    </row>
    <row r="29" spans="1:17" ht="24" customHeight="1" x14ac:dyDescent="0.25">
      <c r="A29" s="75"/>
      <c r="B29" s="75"/>
      <c r="C29" s="75"/>
      <c r="D29" s="75"/>
      <c r="E29" s="76"/>
      <c r="F29" s="36"/>
      <c r="G29" s="36"/>
      <c r="H29" s="37"/>
      <c r="I29" s="38">
        <f t="shared" si="0"/>
        <v>0</v>
      </c>
    </row>
    <row r="30" spans="1:17" ht="24" customHeight="1" x14ac:dyDescent="0.25">
      <c r="A30" s="82"/>
      <c r="B30" s="82"/>
      <c r="C30" s="82"/>
      <c r="D30" s="82"/>
      <c r="E30" s="83"/>
      <c r="F30" s="54"/>
      <c r="G30" s="64"/>
      <c r="H30" s="61"/>
      <c r="I30" s="55">
        <f t="shared" si="0"/>
        <v>0</v>
      </c>
      <c r="K30" s="31"/>
    </row>
    <row r="31" spans="1:17" ht="18.899999999999999" customHeight="1" x14ac:dyDescent="0.25">
      <c r="A31" s="45"/>
      <c r="B31" s="45"/>
      <c r="C31" s="45"/>
      <c r="D31" s="45"/>
      <c r="E31" s="45"/>
      <c r="F31" s="42"/>
      <c r="G31" s="42"/>
      <c r="H31" s="40" t="s">
        <v>23</v>
      </c>
      <c r="I31" s="41">
        <v>-10</v>
      </c>
      <c r="K31" s="12" t="s">
        <v>24</v>
      </c>
      <c r="Q31" s="48"/>
    </row>
    <row r="32" spans="1:17" ht="18.899999999999999" customHeight="1" x14ac:dyDescent="0.3">
      <c r="A32" s="77" t="s">
        <v>73</v>
      </c>
      <c r="B32" s="78"/>
      <c r="C32" s="78"/>
      <c r="D32" s="78"/>
      <c r="E32" s="71"/>
      <c r="F32" s="53"/>
      <c r="G32" s="53"/>
      <c r="H32" s="40" t="s">
        <v>25</v>
      </c>
      <c r="I32" s="41">
        <f>SUM(I15:I30,I31)</f>
        <v>90</v>
      </c>
      <c r="K32" s="12" t="s">
        <v>26</v>
      </c>
    </row>
    <row r="33" spans="1:15" ht="18.899999999999999" customHeight="1" x14ac:dyDescent="0.3">
      <c r="A33" s="78"/>
      <c r="B33" s="78"/>
      <c r="C33" s="78"/>
      <c r="D33" s="78"/>
      <c r="E33" s="71"/>
      <c r="F33"/>
      <c r="H33" s="40" t="s">
        <v>27</v>
      </c>
      <c r="I33" s="41">
        <v>10</v>
      </c>
      <c r="K33" s="12" t="s">
        <v>32</v>
      </c>
    </row>
    <row r="34" spans="1:15" ht="18.899999999999999" customHeight="1" x14ac:dyDescent="0.3">
      <c r="A34" s="78"/>
      <c r="B34" s="78"/>
      <c r="C34" s="78"/>
      <c r="D34" s="78"/>
      <c r="E34" s="71"/>
      <c r="F34"/>
      <c r="H34" s="40" t="s">
        <v>29</v>
      </c>
      <c r="I34" s="41">
        <v>5</v>
      </c>
      <c r="K34" s="12" t="s">
        <v>34</v>
      </c>
      <c r="O34" s="48"/>
    </row>
    <row r="35" spans="1:15" ht="14.4" hidden="1" x14ac:dyDescent="0.3">
      <c r="A35" s="78"/>
      <c r="B35" s="78"/>
      <c r="C35" s="78"/>
      <c r="D35" s="78"/>
      <c r="E35" s="71"/>
      <c r="F35" s="53"/>
      <c r="G35" s="53"/>
      <c r="H35" s="39" t="s">
        <v>30</v>
      </c>
      <c r="I35" s="41">
        <f>IF(_xlfn.XLOOKUP($B$7,Customers[Customer Name],Customers[Tax Exempt?],"N",0,1)="Y",0,SUMIFS(I15:I30,G15:G30,"Y")+I31+I34)</f>
        <v>95</v>
      </c>
      <c r="K35" s="12"/>
    </row>
    <row r="36" spans="1:15" ht="18.899999999999999" customHeight="1" x14ac:dyDescent="0.3">
      <c r="A36" s="78"/>
      <c r="B36" s="78"/>
      <c r="C36" s="78"/>
      <c r="D36" s="78"/>
      <c r="E36" s="71"/>
      <c r="F36"/>
      <c r="G36" s="42"/>
      <c r="H36" s="40" t="s">
        <v>31</v>
      </c>
      <c r="I36" s="60">
        <v>6.0999999999999999E-2</v>
      </c>
      <c r="K36" s="12" t="s">
        <v>28</v>
      </c>
      <c r="O36" s="48"/>
    </row>
    <row r="37" spans="1:15" ht="18.899999999999999" customHeight="1" thickBot="1" x14ac:dyDescent="0.35">
      <c r="A37" s="79" t="s">
        <v>77</v>
      </c>
      <c r="B37" s="79"/>
      <c r="C37" s="79"/>
      <c r="D37" s="79"/>
      <c r="E37" s="72"/>
      <c r="F37"/>
      <c r="G37" s="42"/>
      <c r="H37" s="40" t="s">
        <v>33</v>
      </c>
      <c r="I37" s="41">
        <f>ROUND(I36*I35,2)</f>
        <v>5.8</v>
      </c>
      <c r="K37" s="12" t="s">
        <v>91</v>
      </c>
      <c r="O37" s="48"/>
    </row>
    <row r="38" spans="1:15" ht="18.899999999999999" customHeight="1" thickTop="1" x14ac:dyDescent="0.25">
      <c r="A38" s="80" t="s">
        <v>35</v>
      </c>
      <c r="B38" s="81"/>
      <c r="C38" s="81"/>
      <c r="D38" s="81"/>
      <c r="E38" s="73"/>
      <c r="F38" s="68"/>
      <c r="G38" s="43"/>
      <c r="H38" s="69" t="s">
        <v>36</v>
      </c>
      <c r="I38" s="44">
        <f>I32+I33+I34+I37</f>
        <v>110.8</v>
      </c>
      <c r="K38" s="12" t="s">
        <v>37</v>
      </c>
    </row>
    <row r="39" spans="1:15" x14ac:dyDescent="0.25">
      <c r="D39" s="50"/>
      <c r="E39" s="50"/>
    </row>
    <row r="40" spans="1:15" x14ac:dyDescent="0.25">
      <c r="F40" s="51"/>
      <c r="G40" s="51"/>
      <c r="H40" s="51"/>
      <c r="I40" s="51"/>
    </row>
    <row r="41" spans="1:15" x14ac:dyDescent="0.25">
      <c r="K41" s="12"/>
    </row>
    <row r="43" spans="1:15" x14ac:dyDescent="0.25">
      <c r="K43" s="12"/>
    </row>
  </sheetData>
  <mergeCells count="21">
    <mergeCell ref="A14:D14"/>
    <mergeCell ref="A15:E15"/>
    <mergeCell ref="A16:E16"/>
    <mergeCell ref="A17:E17"/>
    <mergeCell ref="G8:I8"/>
    <mergeCell ref="A32:D36"/>
    <mergeCell ref="A37:D37"/>
    <mergeCell ref="A38:D38"/>
    <mergeCell ref="A28:E28"/>
    <mergeCell ref="A29:E29"/>
    <mergeCell ref="A30:E30"/>
    <mergeCell ref="A18:E18"/>
    <mergeCell ref="A19:E19"/>
    <mergeCell ref="A20:E20"/>
    <mergeCell ref="A21:E21"/>
    <mergeCell ref="A22:E22"/>
    <mergeCell ref="A23:E23"/>
    <mergeCell ref="A24:E24"/>
    <mergeCell ref="A25:E25"/>
    <mergeCell ref="A26:E26"/>
    <mergeCell ref="A27:E27"/>
  </mergeCells>
  <dataValidations count="2">
    <dataValidation type="list" allowBlank="1" showInputMessage="1" showErrorMessage="1" sqref="I6" xr:uid="{BF59DA37-E129-434F-BE02-3AB9522F89FA}">
      <formula1>Term</formula1>
    </dataValidation>
    <dataValidation type="list" allowBlank="1" showInputMessage="1" showErrorMessage="1" sqref="H31" xr:uid="{F71D5D35-11E5-4A4D-8251-B48128CE10EB}">
      <formula1>"DISCOUNT,OTHER"</formula1>
    </dataValidation>
  </dataValidations>
  <pageMargins left="0.25" right="0.25" top="0.25" bottom="0.25" header="0.05" footer="0.05"/>
  <pageSetup scale="87" orientation="portrait" horizontalDpi="4294967293" verticalDpi="120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9100F1-3C83-46D5-9CF1-A8328DEA713C}">
  <sheetPr>
    <pageSetUpPr fitToPage="1"/>
  </sheetPr>
  <dimension ref="A1:X43"/>
  <sheetViews>
    <sheetView showGridLines="0" tabSelected="1" zoomScaleNormal="100" workbookViewId="0">
      <selection activeCell="J19" sqref="J19"/>
    </sheetView>
  </sheetViews>
  <sheetFormatPr defaultColWidth="9.109375" defaultRowHeight="13.2" x14ac:dyDescent="0.25"/>
  <cols>
    <col min="1" max="1" width="6.33203125" style="2" customWidth="1"/>
    <col min="2" max="2" width="20.33203125" style="2" customWidth="1"/>
    <col min="3" max="3" width="7" style="2" customWidth="1"/>
    <col min="4" max="4" width="20.33203125" style="2" customWidth="1"/>
    <col min="5" max="5" width="6.88671875" style="2" customWidth="1"/>
    <col min="6" max="6" width="20.33203125" style="2" customWidth="1"/>
    <col min="7" max="7" width="9.33203125" style="2" customWidth="1"/>
    <col min="8" max="8" width="6.109375" style="2" hidden="1" customWidth="1"/>
    <col min="9" max="9" width="11.6640625" style="2" customWidth="1"/>
    <col min="10" max="10" width="16.6640625" style="2" customWidth="1"/>
    <col min="11" max="11" width="2" style="2" customWidth="1"/>
    <col min="12" max="12" width="29.44140625" style="2" customWidth="1"/>
    <col min="13" max="16384" width="9.109375" style="2"/>
  </cols>
  <sheetData>
    <row r="1" spans="1:24" ht="18" customHeight="1" x14ac:dyDescent="0.25">
      <c r="A1" s="1"/>
      <c r="B1" s="1"/>
      <c r="C1" s="1"/>
      <c r="D1" s="1"/>
      <c r="E1" s="1"/>
      <c r="F1" s="1"/>
      <c r="G1" s="1"/>
      <c r="H1" s="1"/>
      <c r="I1" s="1"/>
      <c r="J1" s="1"/>
    </row>
    <row r="2" spans="1:24" ht="37.5" customHeight="1" x14ac:dyDescent="0.6">
      <c r="A2" s="3"/>
      <c r="B2" s="3"/>
      <c r="C2" s="3"/>
      <c r="D2" s="3"/>
      <c r="E2" s="3"/>
      <c r="F2" s="3"/>
      <c r="G2" s="3"/>
      <c r="H2" s="3"/>
      <c r="I2" s="4"/>
      <c r="J2" s="5" t="s">
        <v>0</v>
      </c>
      <c r="L2" s="46"/>
      <c r="M2" s="48"/>
    </row>
    <row r="3" spans="1:24" ht="18" customHeight="1" x14ac:dyDescent="0.25">
      <c r="A3" s="6"/>
      <c r="B3" s="6"/>
      <c r="C3" s="6"/>
      <c r="D3" s="6"/>
      <c r="E3" s="6"/>
      <c r="F3" s="6"/>
      <c r="G3" s="6"/>
      <c r="H3" s="6"/>
      <c r="I3" s="7"/>
      <c r="J3" s="7"/>
      <c r="L3" s="8"/>
    </row>
    <row r="4" spans="1:24" s="9" customFormat="1" ht="18.899999999999999" customHeight="1" x14ac:dyDescent="0.3">
      <c r="F4" s="10"/>
      <c r="G4" s="10"/>
      <c r="H4" s="10"/>
      <c r="I4" s="11" t="s">
        <v>1</v>
      </c>
      <c r="J4" s="66">
        <f ca="1">TODAY()</f>
        <v>46084</v>
      </c>
      <c r="L4" s="12" t="s">
        <v>2</v>
      </c>
    </row>
    <row r="5" spans="1:24" ht="18.899999999999999" customHeight="1" x14ac:dyDescent="0.25">
      <c r="A5" s="13"/>
      <c r="B5" s="13"/>
      <c r="C5" s="13"/>
      <c r="D5" s="13"/>
      <c r="E5" s="14"/>
      <c r="F5" s="15"/>
      <c r="G5" s="13"/>
      <c r="H5" s="13"/>
      <c r="I5" s="16" t="s">
        <v>3</v>
      </c>
      <c r="J5" s="67"/>
      <c r="L5" s="12" t="s">
        <v>75</v>
      </c>
      <c r="O5" s="48"/>
      <c r="X5" s="49"/>
    </row>
    <row r="6" spans="1:24" ht="18.899999999999999" customHeight="1" x14ac:dyDescent="0.25">
      <c r="A6" s="13"/>
      <c r="B6" s="13"/>
      <c r="C6" s="13"/>
      <c r="D6" s="13"/>
      <c r="E6" s="14"/>
      <c r="F6" s="15"/>
      <c r="G6" s="13"/>
      <c r="H6" s="13"/>
      <c r="I6" s="13" t="s">
        <v>4</v>
      </c>
      <c r="J6" s="67"/>
      <c r="L6" s="12" t="s">
        <v>72</v>
      </c>
      <c r="N6" s="48"/>
      <c r="O6" s="48"/>
      <c r="X6" s="49"/>
    </row>
    <row r="7" spans="1:24" ht="18.899999999999999" customHeight="1" x14ac:dyDescent="0.25">
      <c r="A7" s="17" t="s">
        <v>5</v>
      </c>
      <c r="B7" s="18" t="s">
        <v>88</v>
      </c>
      <c r="C7" s="17" t="s">
        <v>93</v>
      </c>
      <c r="D7" s="18" t="s">
        <v>88</v>
      </c>
      <c r="E7" s="17" t="s">
        <v>7</v>
      </c>
      <c r="F7" s="18" t="s">
        <v>8</v>
      </c>
      <c r="L7" s="12" t="s">
        <v>95</v>
      </c>
      <c r="M7" s="19"/>
      <c r="N7" s="19"/>
    </row>
    <row r="8" spans="1:24" ht="18.899999999999999" customHeight="1" x14ac:dyDescent="0.25">
      <c r="A8" s="20" t="s">
        <v>9</v>
      </c>
      <c r="B8" s="21" t="str">
        <f>_xlfn.XLOOKUP($B$7,Customers[Customer Name],Customers[Address 1],"Select Customer in B7",0,1)</f>
        <v>Address Line 1</v>
      </c>
      <c r="C8" s="20" t="s">
        <v>10</v>
      </c>
      <c r="D8" s="21" t="str">
        <f>_xlfn.XLOOKUP($B$7,Customers[Customer Name],Customers[Address 1],"Select Customer in B7",0,1)</f>
        <v>Address Line 1</v>
      </c>
      <c r="E8" s="20" t="s">
        <v>10</v>
      </c>
      <c r="F8" s="21" t="s">
        <v>11</v>
      </c>
      <c r="G8" s="87" t="s">
        <v>92</v>
      </c>
      <c r="H8" s="87"/>
      <c r="I8" s="87"/>
      <c r="J8" s="87"/>
      <c r="L8" s="12"/>
      <c r="M8" s="24"/>
      <c r="N8" s="25"/>
      <c r="O8" s="19"/>
    </row>
    <row r="9" spans="1:24" ht="18.899999999999999" customHeight="1" x14ac:dyDescent="0.25">
      <c r="A9" s="26"/>
      <c r="B9" s="21" t="str">
        <f>_xlfn.XLOOKUP($B$7,Customers[Customer Name],Customers[Address 2],"Select Customer in B7",0,1)</f>
        <v>Address Line 2</v>
      </c>
      <c r="C9" s="26"/>
      <c r="D9" s="21" t="str">
        <f>_xlfn.XLOOKUP($B$7,Customers[Customer Name],Customers[Address 2],"Select Customer in B7",0,1)</f>
        <v>Address Line 2</v>
      </c>
      <c r="E9" s="26"/>
      <c r="F9" s="21" t="s">
        <v>13</v>
      </c>
      <c r="G9" s="22"/>
      <c r="H9" s="22"/>
      <c r="I9" s="23" t="s">
        <v>12</v>
      </c>
      <c r="J9" s="47"/>
      <c r="L9" s="19"/>
      <c r="M9" s="27"/>
      <c r="N9" s="28"/>
      <c r="O9" s="19"/>
    </row>
    <row r="10" spans="1:24" ht="18.899999999999999" customHeight="1" x14ac:dyDescent="0.25">
      <c r="A10" s="26"/>
      <c r="B10" s="21" t="str">
        <f>_xlfn.XLOOKUP($B$7,Customers[Customer Name],Customers[City],"Select Customer in B7",0,1)&amp;", "&amp;_xlfn.XLOOKUP($B$7,Customers[Customer Name],Customers[State],"",0,1)&amp;" "&amp;_xlfn.XLOOKUP($B$7,Customers[Customer Name],Customers[Zip],"",0,1)</f>
        <v>City, ST ZIP</v>
      </c>
      <c r="C10" s="26"/>
      <c r="D10" s="21" t="str">
        <f>_xlfn.XLOOKUP($B$7,Customers[Customer Name],Customers[City],"Select Customer in B7",0,1)&amp;", "&amp;_xlfn.XLOOKUP($B$7,Customers[Customer Name],Customers[State],"",0,1)&amp;" "&amp;_xlfn.XLOOKUP($B$7,Customers[Customer Name],Customers[Zip],"",0,1)</f>
        <v>City, ST ZIP</v>
      </c>
      <c r="E10" s="26"/>
      <c r="F10" s="21" t="s">
        <v>85</v>
      </c>
      <c r="G10" s="22"/>
      <c r="H10" s="22"/>
      <c r="I10" s="23" t="s">
        <v>14</v>
      </c>
      <c r="J10" s="47"/>
      <c r="M10" s="29"/>
      <c r="N10" s="30"/>
      <c r="O10" s="19"/>
    </row>
    <row r="11" spans="1:24" ht="18.899999999999999" customHeight="1" x14ac:dyDescent="0.25">
      <c r="A11" s="26"/>
      <c r="B11" s="21" t="str">
        <f>"Ph: "&amp;_xlfn.XLOOKUP($B$7,Customers[Customer Name],Customers[Phone],"Select Customer in B7",0,1)</f>
        <v>Ph: 000-000-0000</v>
      </c>
      <c r="C11" s="26"/>
      <c r="D11" s="21" t="str">
        <f>"Ph: "&amp;_xlfn.XLOOKUP($B$7,Customers[Customer Name],Customers[Phone],"Select Customer in B7",0,1)</f>
        <v>Ph: 000-000-0000</v>
      </c>
      <c r="E11" s="26"/>
      <c r="F11" s="21" t="s">
        <v>16</v>
      </c>
      <c r="G11" s="22"/>
      <c r="H11" s="22"/>
      <c r="I11" s="23" t="s">
        <v>15</v>
      </c>
      <c r="J11" s="62"/>
      <c r="M11" s="19"/>
      <c r="N11" s="19"/>
      <c r="O11" s="19"/>
    </row>
    <row r="12" spans="1:24" ht="18.899999999999999" customHeight="1" x14ac:dyDescent="0.25">
      <c r="A12" s="26"/>
      <c r="B12" s="21" t="str">
        <f>_xlfn.XLOOKUP($B$7,Customers[Customer Name],Customers[Billing Email],"Select Customer in B7",0,1)</f>
        <v>test@example.com</v>
      </c>
      <c r="C12" s="26"/>
      <c r="D12" s="21" t="str">
        <f>_xlfn.XLOOKUP($B$7,Customers[Customer Name],Customers[Billing Email],"Select Customer in B7",0,1)</f>
        <v>test@example.com</v>
      </c>
      <c r="E12" s="26"/>
      <c r="F12" s="21" t="s">
        <v>76</v>
      </c>
      <c r="G12" s="22"/>
      <c r="H12" s="22"/>
      <c r="I12" s="23" t="s">
        <v>17</v>
      </c>
      <c r="J12" s="47"/>
      <c r="L12" s="48"/>
      <c r="M12" s="19"/>
      <c r="N12" s="19"/>
      <c r="O12" s="19"/>
    </row>
    <row r="13" spans="1:24" ht="18.899999999999999" customHeight="1" x14ac:dyDescent="0.25">
      <c r="A13" s="32"/>
      <c r="B13" s="32"/>
      <c r="C13" s="32"/>
      <c r="D13" s="32"/>
      <c r="E13" s="21"/>
      <c r="F13" s="21"/>
      <c r="G13" s="32"/>
      <c r="H13" s="32"/>
      <c r="I13" s="33"/>
      <c r="J13" s="33"/>
      <c r="M13" s="19"/>
      <c r="N13" s="19"/>
      <c r="O13" s="19"/>
    </row>
    <row r="14" spans="1:24" ht="18.899999999999999" customHeight="1" x14ac:dyDescent="0.25">
      <c r="A14" s="92" t="s">
        <v>18</v>
      </c>
      <c r="B14" s="92"/>
      <c r="C14" s="92"/>
      <c r="D14" s="92"/>
      <c r="E14" s="92"/>
      <c r="F14" s="93"/>
      <c r="G14" s="34" t="s">
        <v>19</v>
      </c>
      <c r="H14" s="34" t="s">
        <v>20</v>
      </c>
      <c r="I14" s="34" t="s">
        <v>21</v>
      </c>
      <c r="J14" s="35" t="s">
        <v>22</v>
      </c>
      <c r="L14" s="31"/>
    </row>
    <row r="15" spans="1:24" ht="24" customHeight="1" x14ac:dyDescent="0.25">
      <c r="A15" s="94" t="s">
        <v>80</v>
      </c>
      <c r="B15" s="94"/>
      <c r="C15" s="94"/>
      <c r="D15" s="94"/>
      <c r="E15" s="94"/>
      <c r="F15" s="95"/>
      <c r="G15" s="36">
        <v>2</v>
      </c>
      <c r="H15" s="36" t="str">
        <f>_xlfn.XLOOKUP(A15,Catalog[Item Description],Catalog[Taxable?],"N",0,1)</f>
        <v>Y</v>
      </c>
      <c r="I15" s="37">
        <v>50</v>
      </c>
      <c r="J15" s="38">
        <f>ROUND(G15*I15,2)</f>
        <v>100</v>
      </c>
      <c r="L15" s="12" t="s">
        <v>90</v>
      </c>
      <c r="Q15" s="48"/>
    </row>
    <row r="16" spans="1:24" ht="24" customHeight="1" x14ac:dyDescent="0.25">
      <c r="A16" s="88"/>
      <c r="B16" s="88"/>
      <c r="C16" s="88"/>
      <c r="D16" s="88"/>
      <c r="E16" s="88"/>
      <c r="F16" s="89"/>
      <c r="G16" s="36"/>
      <c r="H16" s="36" t="str">
        <f>_xlfn.XLOOKUP(A16,Catalog[Item Description],Catalog[Taxable?],"N",0,1)</f>
        <v>N</v>
      </c>
      <c r="I16" s="37">
        <f>_xlfn.XLOOKUP(A16,Catalog[Item Description],Catalog[Unit Price],0,0,1)</f>
        <v>0</v>
      </c>
      <c r="J16" s="38">
        <f t="shared" ref="J16:J30" si="0">ROUND(G16*I16,2)</f>
        <v>0</v>
      </c>
      <c r="Q16" s="48"/>
    </row>
    <row r="17" spans="1:18" ht="24" customHeight="1" x14ac:dyDescent="0.25">
      <c r="A17" s="88"/>
      <c r="B17" s="88"/>
      <c r="C17" s="88"/>
      <c r="D17" s="88"/>
      <c r="E17" s="88"/>
      <c r="F17" s="89"/>
      <c r="G17" s="36"/>
      <c r="H17" s="36" t="str">
        <f>_xlfn.XLOOKUP(A17,Catalog[Item Description],Catalog[Taxable?],"N",0,1)</f>
        <v>N</v>
      </c>
      <c r="I17" s="37">
        <f>_xlfn.XLOOKUP(A17,Catalog[Item Description],Catalog[Unit Price],0,0,1)</f>
        <v>0</v>
      </c>
      <c r="J17" s="38">
        <f t="shared" si="0"/>
        <v>0</v>
      </c>
      <c r="Q17" s="48"/>
    </row>
    <row r="18" spans="1:18" ht="24" customHeight="1" x14ac:dyDescent="0.25">
      <c r="A18" s="88"/>
      <c r="B18" s="88"/>
      <c r="C18" s="88"/>
      <c r="D18" s="88"/>
      <c r="E18" s="88"/>
      <c r="F18" s="89"/>
      <c r="G18" s="36"/>
      <c r="H18" s="36" t="str">
        <f>_xlfn.XLOOKUP(A18,Catalog[Item Description],Catalog[Taxable?],"N",0,1)</f>
        <v>N</v>
      </c>
      <c r="I18" s="37">
        <f>_xlfn.XLOOKUP(A18,Catalog[Item Description],Catalog[Unit Price],0,0,1)</f>
        <v>0</v>
      </c>
      <c r="J18" s="38">
        <f t="shared" si="0"/>
        <v>0</v>
      </c>
      <c r="Q18" s="48"/>
    </row>
    <row r="19" spans="1:18" ht="24" customHeight="1" x14ac:dyDescent="0.25">
      <c r="A19" s="88"/>
      <c r="B19" s="88"/>
      <c r="C19" s="88"/>
      <c r="D19" s="88"/>
      <c r="E19" s="88"/>
      <c r="F19" s="89"/>
      <c r="G19" s="36"/>
      <c r="H19" s="36" t="str">
        <f>_xlfn.XLOOKUP(A19,Catalog[Item Description],Catalog[Taxable?],"N",0,1)</f>
        <v>N</v>
      </c>
      <c r="I19" s="37">
        <f>_xlfn.XLOOKUP(A19,Catalog[Item Description],Catalog[Unit Price],0,0,1)</f>
        <v>0</v>
      </c>
      <c r="J19" s="38">
        <f t="shared" si="0"/>
        <v>0</v>
      </c>
      <c r="Q19" s="48"/>
    </row>
    <row r="20" spans="1:18" ht="24" customHeight="1" x14ac:dyDescent="0.25">
      <c r="A20" s="88"/>
      <c r="B20" s="88"/>
      <c r="C20" s="88"/>
      <c r="D20" s="88"/>
      <c r="E20" s="88"/>
      <c r="F20" s="89"/>
      <c r="G20" s="36"/>
      <c r="H20" s="36" t="str">
        <f>_xlfn.XLOOKUP(A20,Catalog[Item Description],Catalog[Taxable?],"N",0,1)</f>
        <v>N</v>
      </c>
      <c r="I20" s="37">
        <f>_xlfn.XLOOKUP(A20,Catalog[Item Description],Catalog[Unit Price],0,0,1)</f>
        <v>0</v>
      </c>
      <c r="J20" s="38">
        <f t="shared" si="0"/>
        <v>0</v>
      </c>
      <c r="L20" s="31"/>
    </row>
    <row r="21" spans="1:18" ht="24" customHeight="1" x14ac:dyDescent="0.25">
      <c r="A21" s="88"/>
      <c r="B21" s="88"/>
      <c r="C21" s="88"/>
      <c r="D21" s="88"/>
      <c r="E21" s="88"/>
      <c r="F21" s="89"/>
      <c r="G21" s="36"/>
      <c r="H21" s="36" t="str">
        <f>_xlfn.XLOOKUP(A21,Catalog[Item Description],Catalog[Taxable?],"N",0,1)</f>
        <v>N</v>
      </c>
      <c r="I21" s="37">
        <f>_xlfn.XLOOKUP(A21,Catalog[Item Description],Catalog[Unit Price],0,0,1)</f>
        <v>0</v>
      </c>
      <c r="J21" s="38">
        <f t="shared" si="0"/>
        <v>0</v>
      </c>
      <c r="L21" s="31"/>
    </row>
    <row r="22" spans="1:18" ht="24" customHeight="1" x14ac:dyDescent="0.25">
      <c r="A22" s="88"/>
      <c r="B22" s="88"/>
      <c r="C22" s="88"/>
      <c r="D22" s="88"/>
      <c r="E22" s="88"/>
      <c r="F22" s="89"/>
      <c r="G22" s="36"/>
      <c r="H22" s="36" t="str">
        <f>_xlfn.XLOOKUP(A22,Catalog[Item Description],Catalog[Taxable?],"N",0,1)</f>
        <v>N</v>
      </c>
      <c r="I22" s="37">
        <f>_xlfn.XLOOKUP(A22,Catalog[Item Description],Catalog[Unit Price],0,0,1)</f>
        <v>0</v>
      </c>
      <c r="J22" s="38">
        <f t="shared" si="0"/>
        <v>0</v>
      </c>
    </row>
    <row r="23" spans="1:18" ht="24" customHeight="1" x14ac:dyDescent="0.25">
      <c r="A23" s="88"/>
      <c r="B23" s="88"/>
      <c r="C23" s="88"/>
      <c r="D23" s="88"/>
      <c r="E23" s="88"/>
      <c r="F23" s="89"/>
      <c r="G23" s="36"/>
      <c r="H23" s="36" t="str">
        <f>_xlfn.XLOOKUP(A23,Catalog[Item Description],Catalog[Taxable?],"N",0,1)</f>
        <v>N</v>
      </c>
      <c r="I23" s="37">
        <f>_xlfn.XLOOKUP(A23,Catalog[Item Description],Catalog[Unit Price],0,0,1)</f>
        <v>0</v>
      </c>
      <c r="J23" s="38">
        <f t="shared" si="0"/>
        <v>0</v>
      </c>
      <c r="L23" s="31"/>
    </row>
    <row r="24" spans="1:18" ht="24" customHeight="1" x14ac:dyDescent="0.25">
      <c r="A24" s="88"/>
      <c r="B24" s="88"/>
      <c r="C24" s="88"/>
      <c r="D24" s="88"/>
      <c r="E24" s="88"/>
      <c r="F24" s="89"/>
      <c r="G24" s="36"/>
      <c r="H24" s="36" t="str">
        <f>_xlfn.XLOOKUP(A24,Catalog[Item Description],Catalog[Taxable?],"N",0,1)</f>
        <v>N</v>
      </c>
      <c r="I24" s="37">
        <f>_xlfn.XLOOKUP(A24,Catalog[Item Description],Catalog[Unit Price],0,0,1)</f>
        <v>0</v>
      </c>
      <c r="J24" s="38">
        <f t="shared" si="0"/>
        <v>0</v>
      </c>
    </row>
    <row r="25" spans="1:18" ht="24" customHeight="1" x14ac:dyDescent="0.25">
      <c r="A25" s="88"/>
      <c r="B25" s="88"/>
      <c r="C25" s="88"/>
      <c r="D25" s="88"/>
      <c r="E25" s="88"/>
      <c r="F25" s="89"/>
      <c r="G25" s="36"/>
      <c r="H25" s="36" t="str">
        <f>_xlfn.XLOOKUP(A25,Catalog[Item Description],Catalog[Taxable?],"N",0,1)</f>
        <v>N</v>
      </c>
      <c r="I25" s="37">
        <f>_xlfn.XLOOKUP(A25,Catalog[Item Description],Catalog[Unit Price],0,0,1)</f>
        <v>0</v>
      </c>
      <c r="J25" s="38">
        <f t="shared" si="0"/>
        <v>0</v>
      </c>
    </row>
    <row r="26" spans="1:18" ht="24" customHeight="1" x14ac:dyDescent="0.25">
      <c r="A26" s="88"/>
      <c r="B26" s="88"/>
      <c r="C26" s="88"/>
      <c r="D26" s="88"/>
      <c r="E26" s="88"/>
      <c r="F26" s="89"/>
      <c r="G26" s="36"/>
      <c r="H26" s="36" t="str">
        <f>_xlfn.XLOOKUP(A26,Catalog[Item Description],Catalog[Taxable?],"N",0,1)</f>
        <v>N</v>
      </c>
      <c r="I26" s="37">
        <f>_xlfn.XLOOKUP(A26,Catalog[Item Description],Catalog[Unit Price],0,0,1)</f>
        <v>0</v>
      </c>
      <c r="J26" s="38">
        <f t="shared" si="0"/>
        <v>0</v>
      </c>
    </row>
    <row r="27" spans="1:18" ht="24" customHeight="1" x14ac:dyDescent="0.25">
      <c r="A27" s="88"/>
      <c r="B27" s="88"/>
      <c r="C27" s="88"/>
      <c r="D27" s="88"/>
      <c r="E27" s="88"/>
      <c r="F27" s="89"/>
      <c r="G27" s="36"/>
      <c r="H27" s="36" t="str">
        <f>_xlfn.XLOOKUP(A27,Catalog[Item Description],Catalog[Taxable?],"N",0,1)</f>
        <v>N</v>
      </c>
      <c r="I27" s="37">
        <f>_xlfn.XLOOKUP(A27,Catalog[Item Description],Catalog[Unit Price],0,0,1)</f>
        <v>0</v>
      </c>
      <c r="J27" s="38">
        <f t="shared" si="0"/>
        <v>0</v>
      </c>
    </row>
    <row r="28" spans="1:18" ht="24" customHeight="1" x14ac:dyDescent="0.25">
      <c r="A28" s="88"/>
      <c r="B28" s="88"/>
      <c r="C28" s="88"/>
      <c r="D28" s="88"/>
      <c r="E28" s="88"/>
      <c r="F28" s="89"/>
      <c r="G28" s="36"/>
      <c r="H28" s="36" t="str">
        <f>_xlfn.XLOOKUP(A28,Catalog[Item Description],Catalog[Taxable?],"N",0,1)</f>
        <v>N</v>
      </c>
      <c r="I28" s="37">
        <f>_xlfn.XLOOKUP(A28,Catalog[Item Description],Catalog[Unit Price],0,0,1)</f>
        <v>0</v>
      </c>
      <c r="J28" s="38">
        <f t="shared" si="0"/>
        <v>0</v>
      </c>
    </row>
    <row r="29" spans="1:18" ht="24" customHeight="1" x14ac:dyDescent="0.25">
      <c r="A29" s="88"/>
      <c r="B29" s="88"/>
      <c r="C29" s="88"/>
      <c r="D29" s="88"/>
      <c r="E29" s="88"/>
      <c r="F29" s="89"/>
      <c r="G29" s="36"/>
      <c r="H29" s="36" t="str">
        <f>_xlfn.XLOOKUP(A29,Catalog[Item Description],Catalog[Taxable?],"N",0,1)</f>
        <v>N</v>
      </c>
      <c r="I29" s="37">
        <f>_xlfn.XLOOKUP(A29,Catalog[Item Description],Catalog[Unit Price],0,0,1)</f>
        <v>0</v>
      </c>
      <c r="J29" s="38">
        <f t="shared" si="0"/>
        <v>0</v>
      </c>
    </row>
    <row r="30" spans="1:18" ht="24" customHeight="1" x14ac:dyDescent="0.25">
      <c r="A30" s="90"/>
      <c r="B30" s="90"/>
      <c r="C30" s="90"/>
      <c r="D30" s="90"/>
      <c r="E30" s="90"/>
      <c r="F30" s="91"/>
      <c r="G30" s="54"/>
      <c r="H30" s="36" t="str">
        <f>_xlfn.XLOOKUP(A30,Catalog[Item Description],Catalog[Taxable?],"N",0,1)</f>
        <v>N</v>
      </c>
      <c r="I30" s="61">
        <f>_xlfn.XLOOKUP(A30,Catalog[Item Description],Catalog[Unit Price],0,0,1)</f>
        <v>0</v>
      </c>
      <c r="J30" s="55">
        <f t="shared" si="0"/>
        <v>0</v>
      </c>
      <c r="L30" s="31"/>
    </row>
    <row r="31" spans="1:18" ht="18.899999999999999" customHeight="1" x14ac:dyDescent="0.25">
      <c r="A31" s="45"/>
      <c r="B31" s="45"/>
      <c r="C31" s="45"/>
      <c r="D31" s="45"/>
      <c r="E31" s="45"/>
      <c r="F31" s="45"/>
      <c r="G31" s="42"/>
      <c r="H31" s="42"/>
      <c r="I31" s="40" t="s">
        <v>23</v>
      </c>
      <c r="J31" s="41">
        <v>-10</v>
      </c>
      <c r="L31" s="12" t="s">
        <v>24</v>
      </c>
      <c r="R31" s="48"/>
    </row>
    <row r="32" spans="1:18" ht="18.899999999999999" customHeight="1" x14ac:dyDescent="0.25">
      <c r="A32" s="77" t="s">
        <v>73</v>
      </c>
      <c r="B32" s="78"/>
      <c r="C32" s="78"/>
      <c r="D32" s="78"/>
      <c r="E32" s="78"/>
      <c r="F32" s="78"/>
      <c r="G32" s="53"/>
      <c r="H32" s="53"/>
      <c r="I32" s="40" t="s">
        <v>25</v>
      </c>
      <c r="J32" s="41">
        <f>SUM(J15:J30,J31)</f>
        <v>90</v>
      </c>
      <c r="L32" s="12" t="s">
        <v>26</v>
      </c>
    </row>
    <row r="33" spans="1:16" ht="18.899999999999999" customHeight="1" x14ac:dyDescent="0.3">
      <c r="A33" s="78"/>
      <c r="B33" s="78"/>
      <c r="C33" s="78"/>
      <c r="D33" s="78"/>
      <c r="E33" s="78"/>
      <c r="F33" s="78"/>
      <c r="G33"/>
      <c r="I33" s="40" t="s">
        <v>27</v>
      </c>
      <c r="J33" s="41">
        <v>10</v>
      </c>
      <c r="L33" s="12" t="s">
        <v>32</v>
      </c>
    </row>
    <row r="34" spans="1:16" ht="18.899999999999999" customHeight="1" x14ac:dyDescent="0.3">
      <c r="A34" s="78"/>
      <c r="B34" s="78"/>
      <c r="C34" s="78"/>
      <c r="D34" s="78"/>
      <c r="E34" s="78"/>
      <c r="F34" s="78"/>
      <c r="G34"/>
      <c r="I34" s="40" t="s">
        <v>29</v>
      </c>
      <c r="J34" s="41">
        <v>5</v>
      </c>
      <c r="L34" s="12" t="s">
        <v>34</v>
      </c>
      <c r="P34" s="48"/>
    </row>
    <row r="35" spans="1:16" hidden="1" x14ac:dyDescent="0.25">
      <c r="A35" s="78"/>
      <c r="B35" s="78"/>
      <c r="C35" s="78"/>
      <c r="D35" s="78"/>
      <c r="E35" s="78"/>
      <c r="F35" s="78"/>
      <c r="G35" s="53"/>
      <c r="H35" s="53"/>
      <c r="I35" s="39" t="s">
        <v>30</v>
      </c>
      <c r="J35" s="41">
        <f>IF(_xlfn.XLOOKUP($B$7,Customers[Customer Name],Customers[Tax Exempt?],"N",0,1)="Y",0,SUMIFS(J15:J30,H15:H30,"Y")+J31+J34)</f>
        <v>95</v>
      </c>
      <c r="L35" s="12"/>
    </row>
    <row r="36" spans="1:16" ht="18.899999999999999" customHeight="1" x14ac:dyDescent="0.3">
      <c r="A36" s="78"/>
      <c r="B36" s="78"/>
      <c r="C36" s="78"/>
      <c r="D36" s="78"/>
      <c r="E36" s="78"/>
      <c r="F36" s="78"/>
      <c r="G36"/>
      <c r="H36" s="42"/>
      <c r="I36" s="40" t="s">
        <v>31</v>
      </c>
      <c r="J36" s="60">
        <v>6.0999999999999999E-2</v>
      </c>
      <c r="L36" s="12" t="s">
        <v>28</v>
      </c>
      <c r="P36" s="48"/>
    </row>
    <row r="37" spans="1:16" ht="18.899999999999999" customHeight="1" thickBot="1" x14ac:dyDescent="0.35">
      <c r="A37" s="79" t="s">
        <v>77</v>
      </c>
      <c r="B37" s="79"/>
      <c r="C37" s="79"/>
      <c r="D37" s="79"/>
      <c r="E37" s="79"/>
      <c r="F37" s="79"/>
      <c r="G37"/>
      <c r="H37" s="42"/>
      <c r="I37" s="40" t="s">
        <v>33</v>
      </c>
      <c r="J37" s="41">
        <f>ROUND(J36*J35,2)</f>
        <v>5.8</v>
      </c>
      <c r="L37" s="12" t="s">
        <v>91</v>
      </c>
      <c r="P37" s="48"/>
    </row>
    <row r="38" spans="1:16" ht="18.899999999999999" customHeight="1" thickTop="1" x14ac:dyDescent="0.25">
      <c r="A38" s="80" t="s">
        <v>35</v>
      </c>
      <c r="B38" s="81"/>
      <c r="C38" s="81"/>
      <c r="D38" s="81"/>
      <c r="E38" s="81"/>
      <c r="F38" s="81"/>
      <c r="G38" s="43"/>
      <c r="H38" s="43"/>
      <c r="I38" s="69" t="s">
        <v>36</v>
      </c>
      <c r="J38" s="44">
        <f>J32+J33+J34+J37</f>
        <v>110.8</v>
      </c>
      <c r="L38" s="12" t="s">
        <v>37</v>
      </c>
    </row>
    <row r="39" spans="1:16" x14ac:dyDescent="0.25">
      <c r="F39" s="50"/>
    </row>
    <row r="40" spans="1:16" x14ac:dyDescent="0.25">
      <c r="G40" s="51"/>
      <c r="H40" s="51"/>
      <c r="I40" s="51"/>
      <c r="J40" s="51"/>
    </row>
    <row r="41" spans="1:16" x14ac:dyDescent="0.25">
      <c r="L41" s="12"/>
    </row>
    <row r="43" spans="1:16" x14ac:dyDescent="0.25">
      <c r="L43" s="12"/>
    </row>
  </sheetData>
  <sortState xmlns:xlrd2="http://schemas.microsoft.com/office/spreadsheetml/2017/richdata2" ref="I10:I12">
    <sortCondition ref="I10:I12"/>
  </sortState>
  <mergeCells count="21">
    <mergeCell ref="A27:F27"/>
    <mergeCell ref="G8:J8"/>
    <mergeCell ref="A14:F14"/>
    <mergeCell ref="A15:F15"/>
    <mergeCell ref="A16:F16"/>
    <mergeCell ref="A20:F20"/>
    <mergeCell ref="A21:F21"/>
    <mergeCell ref="A22:F22"/>
    <mergeCell ref="A23:F23"/>
    <mergeCell ref="A24:F24"/>
    <mergeCell ref="A25:F25"/>
    <mergeCell ref="A26:F26"/>
    <mergeCell ref="A17:F17"/>
    <mergeCell ref="A18:F18"/>
    <mergeCell ref="A19:F19"/>
    <mergeCell ref="A28:F28"/>
    <mergeCell ref="A29:F29"/>
    <mergeCell ref="A30:F30"/>
    <mergeCell ref="A38:F38"/>
    <mergeCell ref="A37:F37"/>
    <mergeCell ref="A32:F36"/>
  </mergeCells>
  <dataValidations count="4">
    <dataValidation type="list" allowBlank="1" showInputMessage="1" showErrorMessage="1" sqref="I31" xr:uid="{B49D5C0B-8209-4A2F-A8A7-00669DAF9025}">
      <formula1>"DISCOUNT,OTHER"</formula1>
    </dataValidation>
    <dataValidation type="list" allowBlank="1" showInputMessage="1" showErrorMessage="1" sqref="J6" xr:uid="{277E9C08-F589-4687-BAA7-B42FEF6C60A9}">
      <formula1>Term</formula1>
    </dataValidation>
    <dataValidation type="list" allowBlank="1" showInputMessage="1" showErrorMessage="1" sqref="A15:F30" xr:uid="{2C6B285C-45B0-43D2-8A25-B577417FE054}">
      <formula1>Description</formula1>
    </dataValidation>
    <dataValidation type="list" allowBlank="1" showInputMessage="1" showErrorMessage="1" sqref="B7 D7" xr:uid="{A388C0C8-BF13-4810-80F4-F82B9575CA0F}">
      <formula1>Customer</formula1>
    </dataValidation>
  </dataValidations>
  <pageMargins left="0.25" right="0.25" top="0.25" bottom="0.25" header="0.05" footer="0.05"/>
  <pageSetup scale="86" orientation="portrait" horizontalDpi="4294967293" verticalDpi="1200" r:id="rId1"/>
  <ignoredErrors>
    <ignoredError sqref="H16:I30 H15" unlockedFormula="1"/>
  </ignoredErrors>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01768B-0304-4590-9BFB-AF0A42151069}">
  <dimension ref="A1:J4"/>
  <sheetViews>
    <sheetView workbookViewId="0">
      <selection activeCell="C18" sqref="C18"/>
    </sheetView>
  </sheetViews>
  <sheetFormatPr defaultRowHeight="14.4" x14ac:dyDescent="0.3"/>
  <cols>
    <col min="1" max="1" width="26.5546875" bestFit="1" customWidth="1"/>
    <col min="2" max="3" width="18.6640625" customWidth="1"/>
    <col min="4" max="4" width="13" bestFit="1" customWidth="1"/>
    <col min="5" max="5" width="10.5546875" customWidth="1"/>
    <col min="6" max="6" width="13" customWidth="1"/>
    <col min="7" max="7" width="17" bestFit="1" customWidth="1"/>
    <col min="8" max="8" width="22.6640625" bestFit="1" customWidth="1"/>
    <col min="9" max="9" width="20" customWidth="1"/>
    <col min="10" max="10" width="13.109375" bestFit="1" customWidth="1"/>
  </cols>
  <sheetData>
    <row r="1" spans="1:10" x14ac:dyDescent="0.3">
      <c r="A1" t="s">
        <v>6</v>
      </c>
      <c r="B1" t="s">
        <v>11</v>
      </c>
      <c r="C1" t="s">
        <v>13</v>
      </c>
      <c r="D1" t="s">
        <v>38</v>
      </c>
      <c r="E1" t="s">
        <v>39</v>
      </c>
      <c r="F1" t="s">
        <v>40</v>
      </c>
      <c r="G1" t="s">
        <v>41</v>
      </c>
      <c r="H1" t="s">
        <v>42</v>
      </c>
      <c r="I1" t="s">
        <v>43</v>
      </c>
      <c r="J1" t="s">
        <v>44</v>
      </c>
    </row>
    <row r="2" spans="1:10" x14ac:dyDescent="0.3">
      <c r="A2" s="57" t="s">
        <v>88</v>
      </c>
      <c r="B2" s="57" t="s">
        <v>86</v>
      </c>
      <c r="C2" s="57" t="s">
        <v>87</v>
      </c>
      <c r="D2" s="57" t="s">
        <v>38</v>
      </c>
      <c r="E2" s="57" t="s">
        <v>83</v>
      </c>
      <c r="F2" s="57" t="s">
        <v>84</v>
      </c>
      <c r="G2" s="58" t="s">
        <v>45</v>
      </c>
      <c r="H2" s="59" t="s">
        <v>79</v>
      </c>
      <c r="I2" s="57"/>
      <c r="J2" t="s">
        <v>47</v>
      </c>
    </row>
    <row r="3" spans="1:10" x14ac:dyDescent="0.3">
      <c r="A3" s="57" t="s">
        <v>89</v>
      </c>
      <c r="B3" s="57" t="s">
        <v>11</v>
      </c>
      <c r="C3" s="57" t="s">
        <v>13</v>
      </c>
      <c r="D3" s="57" t="s">
        <v>38</v>
      </c>
      <c r="E3" s="57" t="s">
        <v>83</v>
      </c>
      <c r="F3" s="57" t="s">
        <v>84</v>
      </c>
      <c r="G3" s="58" t="s">
        <v>45</v>
      </c>
      <c r="H3" s="59" t="s">
        <v>46</v>
      </c>
      <c r="I3" s="57"/>
      <c r="J3" t="s">
        <v>48</v>
      </c>
    </row>
    <row r="4" spans="1:10" x14ac:dyDescent="0.3">
      <c r="A4" s="57"/>
      <c r="B4" s="57"/>
      <c r="C4" s="57"/>
      <c r="D4" s="57"/>
      <c r="E4" s="57"/>
      <c r="F4" s="57"/>
      <c r="G4" s="58"/>
      <c r="H4" s="57"/>
      <c r="I4" s="57"/>
      <c r="J4" s="57"/>
    </row>
  </sheetData>
  <dataValidations count="1">
    <dataValidation type="list" allowBlank="1" showInputMessage="1" showErrorMessage="1" sqref="J2:J4" xr:uid="{930E35A4-A0ED-4866-A6C4-BA3BA6602EDA}">
      <formula1>YN</formula1>
    </dataValidation>
  </dataValidations>
  <hyperlinks>
    <hyperlink ref="H2" r:id="rId1" xr:uid="{6A977726-0764-4B1F-8531-F99D77CCC70C}"/>
    <hyperlink ref="H3" r:id="rId2" xr:uid="{64A3323B-5F85-4BF8-8088-E67A54CCE2CC}"/>
  </hyperlinks>
  <pageMargins left="0.7" right="0.7" top="0.75" bottom="0.75" header="0.3" footer="0.3"/>
  <tableParts count="1">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BBF123-7AC9-4563-B454-D68FAA9F3D12}">
  <dimension ref="A1:D4"/>
  <sheetViews>
    <sheetView workbookViewId="0">
      <selection activeCell="L15" sqref="L15"/>
    </sheetView>
  </sheetViews>
  <sheetFormatPr defaultRowHeight="14.4" x14ac:dyDescent="0.3"/>
  <cols>
    <col min="1" max="1" width="48" customWidth="1"/>
    <col min="2" max="3" width="13.88671875" customWidth="1"/>
    <col min="4" max="4" width="10" bestFit="1" customWidth="1"/>
  </cols>
  <sheetData>
    <row r="1" spans="1:4" x14ac:dyDescent="0.3">
      <c r="A1" t="s">
        <v>49</v>
      </c>
      <c r="B1" t="s">
        <v>50</v>
      </c>
      <c r="C1" t="s">
        <v>51</v>
      </c>
      <c r="D1" t="s">
        <v>52</v>
      </c>
    </row>
    <row r="2" spans="1:4" x14ac:dyDescent="0.3">
      <c r="A2" t="s">
        <v>80</v>
      </c>
      <c r="B2" s="56">
        <v>50</v>
      </c>
      <c r="C2" t="s">
        <v>53</v>
      </c>
      <c r="D2" t="s">
        <v>48</v>
      </c>
    </row>
    <row r="3" spans="1:4" x14ac:dyDescent="0.3">
      <c r="A3" t="s">
        <v>81</v>
      </c>
      <c r="B3" s="56">
        <v>10</v>
      </c>
      <c r="C3" t="s">
        <v>54</v>
      </c>
      <c r="D3" t="s">
        <v>47</v>
      </c>
    </row>
    <row r="4" spans="1:4" x14ac:dyDescent="0.3">
      <c r="B4" s="56"/>
    </row>
  </sheetData>
  <phoneticPr fontId="29" type="noConversion"/>
  <dataValidations count="2">
    <dataValidation type="list" allowBlank="1" showInputMessage="1" showErrorMessage="1" sqref="C2:C3" xr:uid="{C41C5D3D-0A0C-4CF9-8F9D-2105A599DF7E}">
      <formula1>Classification</formula1>
    </dataValidation>
    <dataValidation type="list" allowBlank="1" showInputMessage="1" showErrorMessage="1" sqref="D2:D3" xr:uid="{FB9951C0-9DC5-4E36-A345-3A6000ACEF9B}">
      <formula1>YN</formula1>
    </dataValidation>
  </dataValidations>
  <pageMargins left="0.7" right="0.7" top="0.75" bottom="0.75" header="0.3" footer="0.3"/>
  <drawing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57B4EB-3A38-4410-9CB4-81F906124758}">
  <dimension ref="A1:B8"/>
  <sheetViews>
    <sheetView workbookViewId="0">
      <selection activeCell="N16" sqref="N16"/>
    </sheetView>
  </sheetViews>
  <sheetFormatPr defaultRowHeight="14.4" x14ac:dyDescent="0.3"/>
  <cols>
    <col min="1" max="1" width="19.6640625" customWidth="1"/>
    <col min="2" max="2" width="30.88671875" customWidth="1"/>
  </cols>
  <sheetData>
    <row r="1" spans="1:2" x14ac:dyDescent="0.3">
      <c r="A1" t="s">
        <v>55</v>
      </c>
      <c r="B1" t="s">
        <v>56</v>
      </c>
    </row>
    <row r="2" spans="1:2" ht="28.8" x14ac:dyDescent="0.3">
      <c r="A2" s="52" t="s">
        <v>57</v>
      </c>
      <c r="B2" s="52" t="s">
        <v>58</v>
      </c>
    </row>
    <row r="3" spans="1:2" ht="43.2" x14ac:dyDescent="0.3">
      <c r="A3" s="52" t="s">
        <v>59</v>
      </c>
      <c r="B3" s="52" t="s">
        <v>60</v>
      </c>
    </row>
    <row r="4" spans="1:2" x14ac:dyDescent="0.3">
      <c r="A4" s="52" t="s">
        <v>61</v>
      </c>
      <c r="B4" s="52" t="s">
        <v>62</v>
      </c>
    </row>
    <row r="5" spans="1:2" x14ac:dyDescent="0.3">
      <c r="A5" s="52" t="s">
        <v>63</v>
      </c>
      <c r="B5" s="52" t="s">
        <v>64</v>
      </c>
    </row>
    <row r="6" spans="1:2" x14ac:dyDescent="0.3">
      <c r="A6" s="52" t="s">
        <v>65</v>
      </c>
      <c r="B6" s="52" t="s">
        <v>66</v>
      </c>
    </row>
    <row r="7" spans="1:2" ht="15" customHeight="1" x14ac:dyDescent="0.3">
      <c r="A7" s="52" t="s">
        <v>82</v>
      </c>
      <c r="B7" s="52" t="s">
        <v>67</v>
      </c>
    </row>
    <row r="8" spans="1:2" ht="43.2" x14ac:dyDescent="0.3">
      <c r="A8" s="52" t="s">
        <v>68</v>
      </c>
      <c r="B8" s="52" t="s">
        <v>69</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1FA14D-FE1B-42AE-9753-6C2712151682}">
  <dimension ref="A1:C3"/>
  <sheetViews>
    <sheetView workbookViewId="0">
      <selection activeCell="D12" sqref="D12"/>
    </sheetView>
  </sheetViews>
  <sheetFormatPr defaultRowHeight="14.4" x14ac:dyDescent="0.3"/>
  <cols>
    <col min="2" max="2" width="4.44140625" customWidth="1"/>
    <col min="3" max="3" width="14" customWidth="1"/>
  </cols>
  <sheetData>
    <row r="1" spans="1:3" x14ac:dyDescent="0.3">
      <c r="A1" t="s">
        <v>70</v>
      </c>
      <c r="C1" t="s">
        <v>71</v>
      </c>
    </row>
    <row r="2" spans="1:3" x14ac:dyDescent="0.3">
      <c r="A2" t="s">
        <v>48</v>
      </c>
      <c r="C2" t="s">
        <v>53</v>
      </c>
    </row>
    <row r="3" spans="1:3" x14ac:dyDescent="0.3">
      <c r="A3" t="s">
        <v>47</v>
      </c>
      <c r="C3" t="s">
        <v>54</v>
      </c>
    </row>
  </sheetData>
  <pageMargins left="0.7" right="0.7" top="0.75" bottom="0.75" header="0.3" footer="0.3"/>
  <tableParts count="2">
    <tablePart r:id="rId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SharedWithUsers xmlns="c9280aa0-7405-4613-ac31-71ea2fc4e097">
      <UserInfo>
        <DisplayName>Curtis, Noah Brian - (nbcurtis)</DisplayName>
        <AccountId>91</AccountId>
        <AccountType/>
      </UserInfo>
    </SharedWithUsers>
    <_ip_UnifiedCompliancePolicyUIAction xmlns="http://schemas.microsoft.com/sharepoint/v3" xsi:nil="true"/>
    <_ip_UnifiedCompliancePolicyProperties xmlns="http://schemas.microsoft.com/sharepoint/v3"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272CEFD2AF19E946B21BFF3A93D0A9C1" ma:contentTypeVersion="15" ma:contentTypeDescription="Create a new document." ma:contentTypeScope="" ma:versionID="f26b6b300f957164dd6122ccdaeaa299">
  <xsd:schema xmlns:xsd="http://www.w3.org/2001/XMLSchema" xmlns:xs="http://www.w3.org/2001/XMLSchema" xmlns:p="http://schemas.microsoft.com/office/2006/metadata/properties" xmlns:ns1="http://schemas.microsoft.com/sharepoint/v3" xmlns:ns2="552829e4-3e21-437d-88c0-3220f8d7581c" xmlns:ns3="c9280aa0-7405-4613-ac31-71ea2fc4e097" targetNamespace="http://schemas.microsoft.com/office/2006/metadata/properties" ma:root="true" ma:fieldsID="6dcd93752131b03b6a2b9ea7c54a4f04" ns1:_="" ns2:_="" ns3:_="">
    <xsd:import namespace="http://schemas.microsoft.com/sharepoint/v3"/>
    <xsd:import namespace="552829e4-3e21-437d-88c0-3220f8d7581c"/>
    <xsd:import namespace="c9280aa0-7405-4613-ac31-71ea2fc4e097"/>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1:_ip_UnifiedCompliancePolicyProperties" minOccurs="0"/>
                <xsd:element ref="ns1:_ip_UnifiedCompliancePolicyUIAction" minOccurs="0"/>
                <xsd:element ref="ns2:MediaServiceAutoTags" minOccurs="0"/>
                <xsd:element ref="ns2:MediaServiceOCR" minOccurs="0"/>
                <xsd:element ref="ns2:MediaServiceGenerationTime" minOccurs="0"/>
                <xsd:element ref="ns2:MediaServiceEventHashCode" minOccurs="0"/>
                <xsd:element ref="ns2:MediaServiceAutoKeyPoints" minOccurs="0"/>
                <xsd:element ref="ns2:MediaServiceKeyPoints" minOccurs="0"/>
                <xsd:element ref="ns2:MediaServiceDateTaken"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2" nillable="true" ma:displayName="Unified Compliance Policy Properties" ma:hidden="true" ma:internalName="_ip_UnifiedCompliancePolicyProperties">
      <xsd:simpleType>
        <xsd:restriction base="dms:Note"/>
      </xsd:simpleType>
    </xsd:element>
    <xsd:element name="_ip_UnifiedCompliancePolicyUIAction" ma:index="13"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552829e4-3e21-437d-88c0-3220f8d7581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4" nillable="true" ma:displayName="Tags" ma:internalName="MediaServiceAutoTags"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AutoKeyPoints" ma:index="18" nillable="true" ma:displayName="MediaServiceAutoKeyPoints" ma:hidden="true" ma:internalName="MediaServiceAutoKeyPoints" ma:readOnly="true">
      <xsd:simpleType>
        <xsd:restriction base="dms:Note"/>
      </xsd:simpleType>
    </xsd:element>
    <xsd:element name="MediaServiceKeyPoints" ma:index="19" nillable="true" ma:displayName="KeyPoints" ma:internalName="MediaServiceKeyPoints" ma:readOnly="true">
      <xsd:simpleType>
        <xsd:restriction base="dms:Note">
          <xsd:maxLength value="255"/>
        </xsd:restriction>
      </xsd:simpleType>
    </xsd:element>
    <xsd:element name="MediaServiceDateTaken" ma:index="20" nillable="true" ma:displayName="MediaServiceDateTaken" ma:hidden="true" ma:internalName="MediaServiceDateTaken" ma:readOnly="true">
      <xsd:simpleType>
        <xsd:restriction base="dms:Text"/>
      </xsd:simpleType>
    </xsd:element>
    <xsd:element name="MediaServiceObjectDetectorVersions" ma:index="21" nillable="true" ma:displayName="MediaServiceObjectDetectorVersions" ma:hidden="true" ma:indexed="true" ma:internalName="MediaServiceObjectDetectorVersions"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c9280aa0-7405-4613-ac31-71ea2fc4e097"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60088711-4B0B-4083-9BEF-3851E3CBC992}">
  <ds:schemaRefs>
    <ds:schemaRef ds:uri="http://purl.org/dc/dcmitype/"/>
    <ds:schemaRef ds:uri="http://www.w3.org/XML/1998/namespace"/>
    <ds:schemaRef ds:uri="http://purl.org/dc/elements/1.1/"/>
    <ds:schemaRef ds:uri="http://schemas.microsoft.com/sharepoint/v3"/>
    <ds:schemaRef ds:uri="http://schemas.microsoft.com/office/infopath/2007/PartnerControls"/>
    <ds:schemaRef ds:uri="552829e4-3e21-437d-88c0-3220f8d7581c"/>
    <ds:schemaRef ds:uri="http://schemas.microsoft.com/office/2006/metadata/properties"/>
    <ds:schemaRef ds:uri="http://schemas.microsoft.com/office/2006/documentManagement/types"/>
    <ds:schemaRef ds:uri="http://schemas.openxmlformats.org/package/2006/metadata/core-properties"/>
    <ds:schemaRef ds:uri="c9280aa0-7405-4613-ac31-71ea2fc4e097"/>
    <ds:schemaRef ds:uri="http://purl.org/dc/terms/"/>
    <ds:schemaRef ds:uri="03df8afa-632b-4208-925e-6301be0f0632"/>
    <ds:schemaRef ds:uri="a28621cf-1913-4660-9675-76101b7fe112"/>
  </ds:schemaRefs>
</ds:datastoreItem>
</file>

<file path=customXml/itemProps2.xml><?xml version="1.0" encoding="utf-8"?>
<ds:datastoreItem xmlns:ds="http://schemas.openxmlformats.org/officeDocument/2006/customXml" ds:itemID="{7EB905A9-5675-4557-976D-5FA995FF9F94}">
  <ds:schemaRefs>
    <ds:schemaRef ds:uri="http://schemas.microsoft.com/sharepoint/v3/contenttype/forms"/>
  </ds:schemaRefs>
</ds:datastoreItem>
</file>

<file path=customXml/itemProps3.xml><?xml version="1.0" encoding="utf-8"?>
<ds:datastoreItem xmlns:ds="http://schemas.openxmlformats.org/officeDocument/2006/customXml" ds:itemID="{6F71389C-2E6B-4B4C-8E16-04FBD3EB83D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552829e4-3e21-437d-88c0-3220f8d7581c"/>
    <ds:schemaRef ds:uri="c9280aa0-7405-4613-ac31-71ea2fc4e09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12</vt:i4>
      </vt:variant>
    </vt:vector>
  </HeadingPairs>
  <TitlesOfParts>
    <vt:vector size="18" baseType="lpstr">
      <vt:lpstr>FREE-FORM INVOICE</vt:lpstr>
      <vt:lpstr>CATALOG INVOICE</vt:lpstr>
      <vt:lpstr>Customers</vt:lpstr>
      <vt:lpstr>Goods &amp; Services</vt:lpstr>
      <vt:lpstr>Payment Terms</vt:lpstr>
      <vt:lpstr>Misc Tables</vt:lpstr>
      <vt:lpstr>'FREE-FORM INVOICE'!Classification</vt:lpstr>
      <vt:lpstr>Classification</vt:lpstr>
      <vt:lpstr>'FREE-FORM INVOICE'!Customer</vt:lpstr>
      <vt:lpstr>Customer</vt:lpstr>
      <vt:lpstr>'FREE-FORM INVOICE'!Description</vt:lpstr>
      <vt:lpstr>Description</vt:lpstr>
      <vt:lpstr>'CATALOG INVOICE'!Print_Area</vt:lpstr>
      <vt:lpstr>'FREE-FORM INVOICE'!Print_Area</vt:lpstr>
      <vt:lpstr>'FREE-FORM INVOICE'!Term</vt:lpstr>
      <vt:lpstr>Term</vt:lpstr>
      <vt:lpstr>'FREE-FORM INVOICE'!YN</vt:lpstr>
      <vt:lpstr>YN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Prim, Bethany M - (bprim)</dc:creator>
  <cp:keywords/>
  <dc:description/>
  <cp:lastModifiedBy>Pfennig, Jennifer G - (jpfennig)</cp:lastModifiedBy>
  <cp:revision/>
  <cp:lastPrinted>2026-02-25T16:43:10Z</cp:lastPrinted>
  <dcterms:created xsi:type="dcterms:W3CDTF">2023-11-29T15:07:12Z</dcterms:created>
  <dcterms:modified xsi:type="dcterms:W3CDTF">2026-03-03T15:28:56Z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0x010100272CEFD2AF19E946B21BFF3A93D0A9C1</vt:lpwstr>
  </property>
</Properties>
</file>